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8" windowWidth="22980" windowHeight="9288" activeTab="5"/>
  </bookViews>
  <sheets>
    <sheet name="Sheet4" sheetId="4" r:id="rId1"/>
    <sheet name="Sheet5" sheetId="5" r:id="rId2"/>
    <sheet name="Sheet3" sheetId="3" r:id="rId3"/>
    <sheet name="Sheet2" sheetId="2" r:id="rId4"/>
    <sheet name="Sheet1" sheetId="1" r:id="rId5"/>
    <sheet name="Sheet6" sheetId="6" r:id="rId6"/>
  </sheets>
  <calcPr calcId="145621"/>
</workbook>
</file>

<file path=xl/calcChain.xml><?xml version="1.0" encoding="utf-8"?>
<calcChain xmlns="http://schemas.openxmlformats.org/spreadsheetml/2006/main">
  <c r="H8" i="6" l="1"/>
  <c r="H9" i="6"/>
  <c r="H10" i="6"/>
  <c r="H11" i="6"/>
  <c r="H12" i="6"/>
  <c r="H7" i="6"/>
  <c r="R8" i="6"/>
  <c r="S8" i="6" s="1"/>
  <c r="R9" i="6"/>
  <c r="S9" i="6" s="1"/>
  <c r="R10" i="6"/>
  <c r="S10" i="6" s="1"/>
  <c r="R11" i="6"/>
  <c r="S11" i="6" s="1"/>
  <c r="R7" i="6"/>
  <c r="S7" i="6" s="1"/>
  <c r="F8" i="6"/>
  <c r="F10" i="6"/>
  <c r="F11" i="6"/>
  <c r="F7" i="6"/>
  <c r="F15" i="6" l="1"/>
  <c r="AB16" i="4"/>
  <c r="AB11" i="4"/>
  <c r="AB12" i="4"/>
  <c r="AB13" i="4"/>
  <c r="AB14" i="4"/>
  <c r="AB15" i="4"/>
  <c r="AB10" i="4"/>
  <c r="V19" i="4"/>
  <c r="V18" i="4"/>
  <c r="V17" i="4"/>
  <c r="V12" i="4"/>
  <c r="V13" i="4"/>
  <c r="V14" i="4"/>
  <c r="V15" i="4"/>
  <c r="V16" i="4"/>
  <c r="V11" i="4"/>
  <c r="N17" i="4"/>
  <c r="N18" i="4"/>
  <c r="N19" i="4"/>
  <c r="N16" i="4"/>
  <c r="M17" i="4"/>
  <c r="M18" i="4"/>
  <c r="M19" i="4"/>
  <c r="M16" i="4"/>
  <c r="L17" i="4"/>
  <c r="L18" i="4"/>
  <c r="L19" i="4"/>
  <c r="L16" i="4"/>
  <c r="K19" i="4"/>
  <c r="K17" i="4"/>
  <c r="K18" i="4"/>
  <c r="K16" i="4"/>
  <c r="N12" i="4"/>
  <c r="N11" i="4"/>
  <c r="M12" i="4"/>
  <c r="L12" i="4"/>
  <c r="K12" i="4"/>
  <c r="M11" i="4"/>
  <c r="L11" i="4"/>
  <c r="K11" i="4"/>
  <c r="L4" i="5"/>
  <c r="L5" i="5"/>
  <c r="L6" i="5"/>
  <c r="L7" i="5"/>
  <c r="L3" i="5"/>
  <c r="G10" i="4" s="1"/>
  <c r="L5" i="3"/>
  <c r="K4" i="5"/>
  <c r="M4" i="5" s="1"/>
  <c r="K5" i="5"/>
  <c r="K6" i="5"/>
  <c r="M6" i="5" s="1"/>
  <c r="K7" i="5"/>
  <c r="M7" i="5" s="1"/>
  <c r="K3" i="5"/>
  <c r="G8" i="4" s="1"/>
  <c r="J4" i="5"/>
  <c r="J5" i="5"/>
  <c r="J6" i="5"/>
  <c r="J7" i="5"/>
  <c r="J3" i="5"/>
  <c r="G9" i="4" l="1"/>
  <c r="M3" i="5"/>
  <c r="M5" i="5"/>
  <c r="AI33" i="3"/>
  <c r="AI30" i="3"/>
  <c r="AI31" i="3"/>
  <c r="AI32" i="3"/>
  <c r="AH33" i="3"/>
  <c r="AH30" i="3"/>
  <c r="AH31" i="3"/>
  <c r="AH32" i="3"/>
  <c r="AG33" i="3"/>
  <c r="AG30" i="3"/>
  <c r="AG31" i="3"/>
  <c r="AG32" i="3"/>
  <c r="AF30" i="3"/>
  <c r="AF31" i="3"/>
  <c r="AF32" i="3"/>
  <c r="AF33" i="3"/>
  <c r="AF29" i="3"/>
  <c r="AG29" i="3"/>
  <c r="AH29" i="3"/>
  <c r="AI29" i="3"/>
  <c r="AE30" i="3"/>
  <c r="AE31" i="3"/>
  <c r="AE32" i="3"/>
  <c r="AE33" i="3"/>
  <c r="AE29" i="3"/>
  <c r="AA28" i="3"/>
  <c r="AA29" i="3"/>
  <c r="AA30" i="3"/>
  <c r="AA31" i="3"/>
  <c r="AA32" i="3"/>
  <c r="AA33" i="3"/>
  <c r="AA34" i="3"/>
  <c r="AA27" i="3"/>
  <c r="V27" i="3"/>
  <c r="V28" i="3"/>
  <c r="V29" i="3"/>
  <c r="V30" i="3"/>
  <c r="V31" i="3"/>
  <c r="V32" i="3"/>
  <c r="V33" i="3"/>
  <c r="V34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I19" i="3"/>
  <c r="J19" i="3" s="1"/>
  <c r="K19" i="3" s="1"/>
  <c r="I6" i="3"/>
  <c r="J6" i="3" s="1"/>
  <c r="K6" i="3" s="1"/>
  <c r="I7" i="3"/>
  <c r="J7" i="3" s="1"/>
  <c r="K7" i="3" s="1"/>
  <c r="I8" i="3"/>
  <c r="J8" i="3" s="1"/>
  <c r="K8" i="3" s="1"/>
  <c r="I9" i="3"/>
  <c r="J9" i="3" s="1"/>
  <c r="K9" i="3" s="1"/>
  <c r="I10" i="3"/>
  <c r="J10" i="3" s="1"/>
  <c r="K10" i="3" s="1"/>
  <c r="I11" i="3"/>
  <c r="J11" i="3" s="1"/>
  <c r="K11" i="3" s="1"/>
  <c r="I12" i="3"/>
  <c r="J12" i="3" s="1"/>
  <c r="K12" i="3" s="1"/>
  <c r="I13" i="3"/>
  <c r="J13" i="3" s="1"/>
  <c r="K13" i="3" s="1"/>
  <c r="I14" i="3"/>
  <c r="J14" i="3" s="1"/>
  <c r="K14" i="3" s="1"/>
  <c r="I15" i="3"/>
  <c r="J15" i="3" s="1"/>
  <c r="K15" i="3" s="1"/>
  <c r="I16" i="3"/>
  <c r="J16" i="3" s="1"/>
  <c r="K16" i="3" s="1"/>
  <c r="I17" i="3"/>
  <c r="J17" i="3" s="1"/>
  <c r="K17" i="3" s="1"/>
  <c r="I18" i="3"/>
  <c r="J18" i="3" s="1"/>
  <c r="K18" i="3" s="1"/>
  <c r="I5" i="3"/>
  <c r="J5" i="3" s="1"/>
  <c r="K5" i="3" s="1"/>
  <c r="G13" i="4" l="1"/>
  <c r="G12" i="4"/>
  <c r="G11" i="4"/>
  <c r="AW14" i="2"/>
  <c r="AV14" i="2"/>
  <c r="AU14" i="2"/>
  <c r="AF10" i="2"/>
  <c r="AF11" i="2"/>
  <c r="AF12" i="2"/>
  <c r="AF13" i="2"/>
  <c r="AF14" i="2"/>
  <c r="AF15" i="2"/>
  <c r="AF16" i="2"/>
  <c r="AF17" i="2"/>
  <c r="AF18" i="2"/>
  <c r="AF19" i="2"/>
  <c r="AF20" i="2"/>
  <c r="AF9" i="2"/>
  <c r="AE10" i="2"/>
  <c r="AE11" i="2"/>
  <c r="AE12" i="2"/>
  <c r="AE13" i="2"/>
  <c r="AE14" i="2"/>
  <c r="AE15" i="2"/>
  <c r="AE16" i="2"/>
  <c r="AE17" i="2"/>
  <c r="AE18" i="2"/>
  <c r="AE19" i="2"/>
  <c r="AE20" i="2"/>
  <c r="AE9" i="2"/>
  <c r="AD10" i="2"/>
  <c r="AD11" i="2"/>
  <c r="AD12" i="2"/>
  <c r="AD13" i="2"/>
  <c r="AD14" i="2"/>
  <c r="AD15" i="2"/>
  <c r="AD16" i="2"/>
  <c r="AD17" i="2"/>
  <c r="AD18" i="2"/>
  <c r="AD19" i="2"/>
  <c r="AD20" i="2"/>
  <c r="AD9" i="2"/>
  <c r="AC19" i="2"/>
  <c r="AC20" i="2"/>
  <c r="AC10" i="2"/>
  <c r="AC11" i="2"/>
  <c r="AC12" i="2"/>
  <c r="AC13" i="2"/>
  <c r="AC14" i="2"/>
  <c r="AC15" i="2"/>
  <c r="AC16" i="2"/>
  <c r="AC17" i="2"/>
  <c r="AC18" i="2"/>
  <c r="AC9" i="2"/>
  <c r="J5" i="2"/>
  <c r="K5" i="2" s="1"/>
  <c r="L5" i="2" s="1"/>
  <c r="J4" i="2"/>
  <c r="O31" i="1" l="1"/>
  <c r="O30" i="1"/>
  <c r="O28" i="1"/>
  <c r="O27" i="1"/>
  <c r="T17" i="1"/>
  <c r="T18" i="1"/>
  <c r="T19" i="1"/>
  <c r="T20" i="1"/>
  <c r="T21" i="1"/>
  <c r="T22" i="1"/>
  <c r="T23" i="1"/>
  <c r="T24" i="1"/>
  <c r="T25" i="1"/>
  <c r="T16" i="1"/>
  <c r="S17" i="1"/>
  <c r="S18" i="1"/>
  <c r="S19" i="1"/>
  <c r="S20" i="1"/>
  <c r="S21" i="1"/>
  <c r="S22" i="1"/>
  <c r="S23" i="1"/>
  <c r="S24" i="1"/>
  <c r="S25" i="1"/>
  <c r="S16" i="1"/>
  <c r="L21" i="1"/>
  <c r="L25" i="1"/>
  <c r="K16" i="1"/>
  <c r="L16" i="1" s="1"/>
  <c r="K17" i="1"/>
  <c r="L17" i="1" s="1"/>
  <c r="K18" i="1"/>
  <c r="L18" i="1" s="1"/>
  <c r="K19" i="1"/>
  <c r="L19" i="1" s="1"/>
  <c r="K20" i="1"/>
  <c r="L20" i="1" s="1"/>
  <c r="K21" i="1"/>
  <c r="K22" i="1"/>
  <c r="L22" i="1" s="1"/>
  <c r="K23" i="1"/>
  <c r="L23" i="1" s="1"/>
  <c r="K24" i="1"/>
  <c r="L24" i="1" s="1"/>
  <c r="K25" i="1"/>
  <c r="C8" i="1"/>
  <c r="C9" i="1" s="1"/>
  <c r="F5" i="1"/>
  <c r="F6" i="1"/>
  <c r="F7" i="1"/>
  <c r="F4" i="1"/>
  <c r="F3" i="1"/>
  <c r="E3" i="1"/>
  <c r="D8" i="1"/>
  <c r="D9" i="1" s="1"/>
  <c r="E4" i="1"/>
  <c r="E5" i="1"/>
  <c r="E6" i="1"/>
  <c r="E7" i="1"/>
  <c r="E8" i="1" l="1"/>
  <c r="E9" i="1" s="1"/>
</calcChain>
</file>

<file path=xl/sharedStrings.xml><?xml version="1.0" encoding="utf-8"?>
<sst xmlns="http://schemas.openxmlformats.org/spreadsheetml/2006/main" count="311" uniqueCount="255">
  <si>
    <t>STUDENT DETAILS</t>
  </si>
  <si>
    <t>MARKS 1</t>
  </si>
  <si>
    <t>MARKS 2</t>
  </si>
  <si>
    <t>TOTAL</t>
  </si>
  <si>
    <t>FIRST NAME</t>
  </si>
  <si>
    <t>LAST NAME</t>
  </si>
  <si>
    <t>AYISHA</t>
  </si>
  <si>
    <t>ASHRAF</t>
  </si>
  <si>
    <t>RAHILA</t>
  </si>
  <si>
    <t>VARSHA</t>
  </si>
  <si>
    <t>S</t>
  </si>
  <si>
    <t>VAISHNAVI</t>
  </si>
  <si>
    <t>SAWANTH</t>
  </si>
  <si>
    <t>GAYATRI</t>
  </si>
  <si>
    <t>GOND</t>
  </si>
  <si>
    <t>MINIMUM MARKS =</t>
  </si>
  <si>
    <t>MAXIMUM  MARKS =</t>
  </si>
  <si>
    <t>AVERAGE</t>
  </si>
  <si>
    <t>First Name</t>
  </si>
  <si>
    <t>Last Name</t>
  </si>
  <si>
    <t>Full Name</t>
  </si>
  <si>
    <t>Salary</t>
  </si>
  <si>
    <t>Contact No</t>
  </si>
  <si>
    <t>Gender</t>
  </si>
  <si>
    <t>Projects</t>
  </si>
  <si>
    <t>SI.No</t>
  </si>
  <si>
    <t xml:space="preserve">Ed </t>
  </si>
  <si>
    <t>Sheeran</t>
  </si>
  <si>
    <t>Shawn</t>
  </si>
  <si>
    <t>Mendes</t>
  </si>
  <si>
    <t>Female</t>
  </si>
  <si>
    <t>Male</t>
  </si>
  <si>
    <t>Camila</t>
  </si>
  <si>
    <t>Ariana</t>
  </si>
  <si>
    <t>Grande</t>
  </si>
  <si>
    <t>Conan</t>
  </si>
  <si>
    <t>Grey</t>
  </si>
  <si>
    <t>Harry</t>
  </si>
  <si>
    <t>Style</t>
  </si>
  <si>
    <t xml:space="preserve">Taylor </t>
  </si>
  <si>
    <t>Swift</t>
  </si>
  <si>
    <t>Cabello</t>
  </si>
  <si>
    <t>Billie</t>
  </si>
  <si>
    <t>Maniac</t>
  </si>
  <si>
    <t>Adore You</t>
  </si>
  <si>
    <t>Olivia</t>
  </si>
  <si>
    <t>Rodrigo</t>
  </si>
  <si>
    <t>Positions</t>
  </si>
  <si>
    <t>Willow</t>
  </si>
  <si>
    <t>Charlie</t>
  </si>
  <si>
    <t>Puth</t>
  </si>
  <si>
    <t>Light Switch</t>
  </si>
  <si>
    <t>Bam Bam</t>
  </si>
  <si>
    <t>Photography</t>
  </si>
  <si>
    <t>Treat You Better</t>
  </si>
  <si>
    <t>Lonely</t>
  </si>
  <si>
    <t>Project Start Date</t>
  </si>
  <si>
    <t>Project End Date</t>
  </si>
  <si>
    <t>Length of full name</t>
  </si>
  <si>
    <t>Total Days</t>
  </si>
  <si>
    <t>Net Working Days</t>
  </si>
  <si>
    <t>Driver License</t>
  </si>
  <si>
    <t>No of Female=</t>
  </si>
  <si>
    <t>No of male  =</t>
  </si>
  <si>
    <t>Total salary of female =</t>
  </si>
  <si>
    <t>Total salary of male =</t>
  </si>
  <si>
    <t>Elish</t>
  </si>
  <si>
    <t>Product id</t>
  </si>
  <si>
    <t>Product Name</t>
  </si>
  <si>
    <t>Qty</t>
  </si>
  <si>
    <t>Price</t>
  </si>
  <si>
    <t>Phone</t>
  </si>
  <si>
    <t>Laptop</t>
  </si>
  <si>
    <t>TV</t>
  </si>
  <si>
    <t>Sound Box</t>
  </si>
  <si>
    <t>Refrigerator</t>
  </si>
  <si>
    <t>Washing Machine</t>
  </si>
  <si>
    <t>Hair Drier</t>
  </si>
  <si>
    <t>Dish washer</t>
  </si>
  <si>
    <t>Vaccum Cleaner</t>
  </si>
  <si>
    <t>Print Machine</t>
  </si>
  <si>
    <t>Drone</t>
  </si>
  <si>
    <t>Product ID</t>
  </si>
  <si>
    <t>Customer ID</t>
  </si>
  <si>
    <t>Policy ID</t>
  </si>
  <si>
    <t>Premium</t>
  </si>
  <si>
    <t>Name</t>
  </si>
  <si>
    <t>Age</t>
  </si>
  <si>
    <t>City</t>
  </si>
  <si>
    <t>Niki</t>
  </si>
  <si>
    <t>Vaishnavi</t>
  </si>
  <si>
    <t>Shreya</t>
  </si>
  <si>
    <t>Varsha</t>
  </si>
  <si>
    <t>Rahila</t>
  </si>
  <si>
    <t>Ayisha</t>
  </si>
  <si>
    <t>Preeti</t>
  </si>
  <si>
    <t>Vinay</t>
  </si>
  <si>
    <t>Kiran</t>
  </si>
  <si>
    <t>Harsha</t>
  </si>
  <si>
    <t>F</t>
  </si>
  <si>
    <t>M</t>
  </si>
  <si>
    <t>Seoul</t>
  </si>
  <si>
    <t>Gangnam</t>
  </si>
  <si>
    <t>Celestine</t>
  </si>
  <si>
    <t>Busan</t>
  </si>
  <si>
    <t>NYC</t>
  </si>
  <si>
    <t>Paris</t>
  </si>
  <si>
    <t>Melbourne</t>
  </si>
  <si>
    <t>Chicago</t>
  </si>
  <si>
    <t>Canada</t>
  </si>
  <si>
    <t>Tokyo</t>
  </si>
  <si>
    <t>Macau</t>
  </si>
  <si>
    <t>Daegu</t>
  </si>
  <si>
    <t>Incheon</t>
  </si>
  <si>
    <t>Vintage(In Months)</t>
  </si>
  <si>
    <t>Liyan</t>
  </si>
  <si>
    <t>Tv</t>
  </si>
  <si>
    <t>Soundbox</t>
  </si>
  <si>
    <t>Wasinh Machine</t>
  </si>
  <si>
    <t xml:space="preserve">QTY </t>
  </si>
  <si>
    <t>Search product Details</t>
  </si>
  <si>
    <t>Total Max Marks</t>
  </si>
  <si>
    <t>Reg No</t>
  </si>
  <si>
    <t>Physics</t>
  </si>
  <si>
    <t>Chemistry</t>
  </si>
  <si>
    <t>Mathematics</t>
  </si>
  <si>
    <t>Biology</t>
  </si>
  <si>
    <t>English</t>
  </si>
  <si>
    <t>Kannada</t>
  </si>
  <si>
    <t>Total Marks Obtained</t>
  </si>
  <si>
    <t>Average</t>
  </si>
  <si>
    <t>Grade</t>
  </si>
  <si>
    <t>Pass/Fail</t>
  </si>
  <si>
    <t>Kim</t>
  </si>
  <si>
    <t>Dami</t>
  </si>
  <si>
    <t>Hyeri</t>
  </si>
  <si>
    <t>Song kang</t>
  </si>
  <si>
    <t>Teri</t>
  </si>
  <si>
    <t>Eunwoo</t>
  </si>
  <si>
    <t>Rowoon</t>
  </si>
  <si>
    <t>Moon Ka young</t>
  </si>
  <si>
    <t>Jeonghan</t>
  </si>
  <si>
    <t>Minho</t>
  </si>
  <si>
    <t>Jungsuk</t>
  </si>
  <si>
    <t>Yumi</t>
  </si>
  <si>
    <t>Hyungsik</t>
  </si>
  <si>
    <t>Bogum</t>
  </si>
  <si>
    <t>Seo-joon</t>
  </si>
  <si>
    <t>Month</t>
  </si>
  <si>
    <t>Total income</t>
  </si>
  <si>
    <t>Total Expenses</t>
  </si>
  <si>
    <t>Net Income</t>
  </si>
  <si>
    <t>Jan</t>
  </si>
  <si>
    <t>Feb</t>
  </si>
  <si>
    <t>Mar</t>
  </si>
  <si>
    <t>Apr</t>
  </si>
  <si>
    <t>May</t>
  </si>
  <si>
    <t>Jun</t>
  </si>
  <si>
    <t>Jul</t>
  </si>
  <si>
    <t>Aug</t>
  </si>
  <si>
    <t>REALTIVE REFERENCE</t>
  </si>
  <si>
    <t>ABSOLUTE REFERNCE</t>
  </si>
  <si>
    <t>Grand Totals</t>
  </si>
  <si>
    <t>Percentage</t>
  </si>
  <si>
    <t>Tom</t>
  </si>
  <si>
    <t>Travis</t>
  </si>
  <si>
    <t>Clara</t>
  </si>
  <si>
    <t>Sara</t>
  </si>
  <si>
    <t>Marie</t>
  </si>
  <si>
    <t>Riya</t>
  </si>
  <si>
    <t>James</t>
  </si>
  <si>
    <t>MIXED REFERNCE</t>
  </si>
  <si>
    <t>MAX SCORE</t>
  </si>
  <si>
    <t>Multiplication table</t>
  </si>
  <si>
    <t>Colum Header</t>
  </si>
  <si>
    <t>Row Header</t>
  </si>
  <si>
    <t>Sub1</t>
  </si>
  <si>
    <t>Sub2</t>
  </si>
  <si>
    <t>Sub3</t>
  </si>
  <si>
    <t>Sub4</t>
  </si>
  <si>
    <t>Sub5</t>
  </si>
  <si>
    <t>sub6</t>
  </si>
  <si>
    <t>Total</t>
  </si>
  <si>
    <t>Avg</t>
  </si>
  <si>
    <t>Result(PASS/FAIL)</t>
  </si>
  <si>
    <t>Soomin</t>
  </si>
  <si>
    <t>Ah-Yeon</t>
  </si>
  <si>
    <t>No of students passed</t>
  </si>
  <si>
    <t>No of students failed</t>
  </si>
  <si>
    <t>Percentage of passing</t>
  </si>
  <si>
    <t>Do-Dohee</t>
  </si>
  <si>
    <t>Shin Hari</t>
  </si>
  <si>
    <t>Dongwook</t>
  </si>
  <si>
    <t>No of students with Grade A</t>
  </si>
  <si>
    <t>No of students with Grade B</t>
  </si>
  <si>
    <t>No of students with Grade C</t>
  </si>
  <si>
    <t>CLEAR RESULT</t>
  </si>
  <si>
    <t>PROPER()</t>
  </si>
  <si>
    <t>UPPER()</t>
  </si>
  <si>
    <t>LOWER()</t>
  </si>
  <si>
    <t>STRING</t>
  </si>
  <si>
    <t>TRIM()</t>
  </si>
  <si>
    <t>TodAy Is Not    GoOdDAy</t>
  </si>
  <si>
    <t xml:space="preserve">AyIshA IS aCtINg   WEiRd   </t>
  </si>
  <si>
    <t>T()</t>
  </si>
  <si>
    <t>N()</t>
  </si>
  <si>
    <t>VALUE()</t>
  </si>
  <si>
    <t>ISNUMBER()</t>
  </si>
  <si>
    <t>Points</t>
  </si>
  <si>
    <t>REPT()</t>
  </si>
  <si>
    <t>SOOMIN</t>
  </si>
  <si>
    <t>DONGWOOK</t>
  </si>
  <si>
    <t>JUNYOUNG</t>
  </si>
  <si>
    <t>SUNGHYOON</t>
  </si>
  <si>
    <t>REHYON</t>
  </si>
  <si>
    <t>AH-YEON</t>
  </si>
  <si>
    <t>KIM TAEHYUNG</t>
  </si>
  <si>
    <t>MMMMMM</t>
  </si>
  <si>
    <t>MWEHEHEHEH</t>
  </si>
  <si>
    <t>Check No</t>
  </si>
  <si>
    <t>Preview check 6 digits</t>
  </si>
  <si>
    <t>Len() with rept() with &amp;</t>
  </si>
  <si>
    <t>PRODUCT</t>
  </si>
  <si>
    <t>S.NO</t>
  </si>
  <si>
    <t>PRICE</t>
  </si>
  <si>
    <t>QTY</t>
  </si>
  <si>
    <t>Product 1</t>
  </si>
  <si>
    <t>Product 2</t>
  </si>
  <si>
    <t>Product 3</t>
  </si>
  <si>
    <t>Product 4</t>
  </si>
  <si>
    <t>Product 5</t>
  </si>
  <si>
    <t>Product 6</t>
  </si>
  <si>
    <t>TOTAL AMOUNT =</t>
  </si>
  <si>
    <t>STUDENT</t>
  </si>
  <si>
    <t>SUB1</t>
  </si>
  <si>
    <t>SUB2</t>
  </si>
  <si>
    <t>SUB3</t>
  </si>
  <si>
    <t>SUB4</t>
  </si>
  <si>
    <t>SUB5</t>
  </si>
  <si>
    <t>TOTAL MARKS</t>
  </si>
  <si>
    <t>NAME</t>
  </si>
  <si>
    <t>B.SALARY</t>
  </si>
  <si>
    <t>INVE 10%</t>
  </si>
  <si>
    <t>T.A 12%</t>
  </si>
  <si>
    <t>PF 8%</t>
  </si>
  <si>
    <t>NET SALARY</t>
  </si>
  <si>
    <t>ALAN</t>
  </si>
  <si>
    <t>BRENT</t>
  </si>
  <si>
    <t>PIERSON</t>
  </si>
  <si>
    <t>ANDREW</t>
  </si>
  <si>
    <t>EMMA</t>
  </si>
  <si>
    <t>GABRIEL</t>
  </si>
  <si>
    <t>PURCHASE</t>
  </si>
  <si>
    <t>AVL  QTY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</si>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</sst>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₹&quot;\ 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 Rounded MT Bold"/>
      <family val="2"/>
    </font>
    <font>
      <sz val="11"/>
      <color theme="1"/>
      <name val="Arial Unicode MS"/>
      <family val="2"/>
    </font>
    <font>
      <b/>
      <sz val="11"/>
      <color theme="1"/>
      <name val="Bookman Old Style"/>
      <family val="1"/>
    </font>
    <font>
      <sz val="11"/>
      <color theme="1"/>
      <name val="8514oem"/>
      <family val="3"/>
      <charset val="255"/>
    </font>
    <font>
      <sz val="11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47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4" xfId="0" applyBorder="1"/>
    <xf numFmtId="0" fontId="0" fillId="0" borderId="15" xfId="0" applyBorder="1"/>
    <xf numFmtId="0" fontId="0" fillId="0" borderId="6" xfId="0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7" fontId="0" fillId="0" borderId="6" xfId="0" applyNumberForma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1" fillId="11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17" borderId="6" xfId="0" applyFon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18" borderId="6" xfId="0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16" borderId="6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1" fillId="18" borderId="17" xfId="0" applyFont="1" applyFill="1" applyBorder="1" applyAlignment="1">
      <alignment horizontal="center"/>
    </xf>
    <xf numFmtId="0" fontId="4" fillId="9" borderId="11" xfId="0" applyFont="1" applyFill="1" applyBorder="1" applyAlignment="1">
      <alignment horizontal="center"/>
    </xf>
    <xf numFmtId="0" fontId="4" fillId="6" borderId="6" xfId="0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/>
    </xf>
    <xf numFmtId="0" fontId="5" fillId="4" borderId="16" xfId="0" applyFont="1" applyFill="1" applyBorder="1" applyAlignment="1">
      <alignment horizontal="center"/>
    </xf>
    <xf numFmtId="0" fontId="5" fillId="6" borderId="17" xfId="0" applyFont="1" applyFill="1" applyBorder="1" applyAlignment="1">
      <alignment horizontal="center"/>
    </xf>
    <xf numFmtId="0" fontId="5" fillId="18" borderId="17" xfId="0" applyFont="1" applyFill="1" applyBorder="1" applyAlignment="1">
      <alignment horizontal="center"/>
    </xf>
    <xf numFmtId="0" fontId="5" fillId="11" borderId="18" xfId="0" applyFont="1" applyFill="1" applyBorder="1" applyAlignment="1">
      <alignment horizontal="center"/>
    </xf>
    <xf numFmtId="0" fontId="4" fillId="8" borderId="14" xfId="0" applyFont="1" applyFill="1" applyBorder="1" applyAlignment="1">
      <alignment horizontal="center"/>
    </xf>
    <xf numFmtId="0" fontId="4" fillId="11" borderId="15" xfId="0" applyFont="1" applyFill="1" applyBorder="1" applyAlignment="1">
      <alignment horizontal="center"/>
    </xf>
    <xf numFmtId="0" fontId="4" fillId="8" borderId="19" xfId="0" applyFont="1" applyFill="1" applyBorder="1" applyAlignment="1">
      <alignment horizontal="center"/>
    </xf>
    <xf numFmtId="0" fontId="4" fillId="6" borderId="20" xfId="0" applyFont="1" applyFill="1" applyBorder="1" applyAlignment="1">
      <alignment horizontal="center"/>
    </xf>
    <xf numFmtId="0" fontId="4" fillId="9" borderId="20" xfId="0" applyFont="1" applyFill="1" applyBorder="1" applyAlignment="1">
      <alignment horizontal="center"/>
    </xf>
    <xf numFmtId="0" fontId="4" fillId="11" borderId="21" xfId="0" applyFont="1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18" borderId="11" xfId="0" applyFill="1" applyBorder="1" applyAlignment="1">
      <alignment horizontal="center"/>
    </xf>
    <xf numFmtId="0" fontId="4" fillId="8" borderId="23" xfId="0" applyFont="1" applyFill="1" applyBorder="1" applyAlignment="1">
      <alignment horizontal="center"/>
    </xf>
    <xf numFmtId="0" fontId="4" fillId="6" borderId="24" xfId="0" applyFont="1" applyFill="1" applyBorder="1" applyAlignment="1">
      <alignment horizontal="center"/>
    </xf>
    <xf numFmtId="0" fontId="4" fillId="9" borderId="24" xfId="0" applyFont="1" applyFill="1" applyBorder="1" applyAlignment="1">
      <alignment horizontal="center"/>
    </xf>
    <xf numFmtId="0" fontId="4" fillId="11" borderId="2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3" fillId="16" borderId="17" xfId="0" applyFont="1" applyFill="1" applyBorder="1" applyAlignment="1">
      <alignment horizontal="center"/>
    </xf>
    <xf numFmtId="0" fontId="4" fillId="16" borderId="11" xfId="0" applyFont="1" applyFill="1" applyBorder="1" applyAlignment="1">
      <alignment horizontal="center"/>
    </xf>
    <xf numFmtId="0" fontId="4" fillId="16" borderId="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3" fillId="4" borderId="17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3" fillId="18" borderId="17" xfId="0" applyFont="1" applyFill="1" applyBorder="1" applyAlignment="1">
      <alignment horizontal="center"/>
    </xf>
    <xf numFmtId="0" fontId="4" fillId="18" borderId="11" xfId="0" applyFont="1" applyFill="1" applyBorder="1" applyAlignment="1">
      <alignment horizontal="center"/>
    </xf>
    <xf numFmtId="0" fontId="4" fillId="18" borderId="6" xfId="0" applyFont="1" applyFill="1" applyBorder="1" applyAlignment="1">
      <alignment horizontal="center"/>
    </xf>
    <xf numFmtId="0" fontId="3" fillId="12" borderId="18" xfId="0" applyFont="1" applyFill="1" applyBorder="1" applyAlignment="1">
      <alignment horizontal="center"/>
    </xf>
    <xf numFmtId="0" fontId="4" fillId="12" borderId="11" xfId="0" applyFont="1" applyFill="1" applyBorder="1" applyAlignment="1">
      <alignment horizontal="center"/>
    </xf>
    <xf numFmtId="0" fontId="4" fillId="12" borderId="6" xfId="0" applyFont="1" applyFill="1" applyBorder="1" applyAlignment="1">
      <alignment horizontal="center"/>
    </xf>
    <xf numFmtId="0" fontId="0" fillId="17" borderId="6" xfId="0" applyFill="1" applyBorder="1" applyAlignment="1">
      <alignment horizontal="center"/>
    </xf>
    <xf numFmtId="0" fontId="0" fillId="19" borderId="6" xfId="0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0" fontId="6" fillId="14" borderId="12" xfId="0" applyFont="1" applyFill="1" applyBorder="1" applyAlignment="1">
      <alignment horizontal="center"/>
    </xf>
    <xf numFmtId="0" fontId="6" fillId="14" borderId="14" xfId="0" applyFont="1" applyFill="1" applyBorder="1" applyAlignment="1">
      <alignment horizontal="center"/>
    </xf>
    <xf numFmtId="0" fontId="6" fillId="14" borderId="19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0" fontId="3" fillId="15" borderId="1" xfId="0" applyFont="1" applyFill="1" applyBorder="1" applyAlignment="1">
      <alignment horizontal="center"/>
    </xf>
    <xf numFmtId="0" fontId="6" fillId="15" borderId="11" xfId="0" applyFont="1" applyFill="1" applyBorder="1" applyAlignment="1">
      <alignment horizontal="center"/>
    </xf>
    <xf numFmtId="0" fontId="6" fillId="15" borderId="6" xfId="0" applyFont="1" applyFill="1" applyBorder="1" applyAlignment="1">
      <alignment horizontal="center"/>
    </xf>
    <xf numFmtId="0" fontId="6" fillId="15" borderId="20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6" fillId="11" borderId="11" xfId="0" applyFont="1" applyFill="1" applyBorder="1" applyAlignment="1">
      <alignment horizontal="center"/>
    </xf>
    <xf numFmtId="0" fontId="6" fillId="11" borderId="6" xfId="0" applyFont="1" applyFill="1" applyBorder="1" applyAlignment="1">
      <alignment horizontal="center"/>
    </xf>
    <xf numFmtId="0" fontId="6" fillId="11" borderId="20" xfId="0" applyFont="1" applyFill="1" applyBorder="1" applyAlignment="1">
      <alignment horizontal="center"/>
    </xf>
    <xf numFmtId="0" fontId="6" fillId="13" borderId="13" xfId="0" applyFont="1" applyFill="1" applyBorder="1" applyAlignment="1">
      <alignment horizontal="center"/>
    </xf>
    <xf numFmtId="0" fontId="6" fillId="13" borderId="15" xfId="0" applyFont="1" applyFill="1" applyBorder="1" applyAlignment="1">
      <alignment horizontal="center"/>
    </xf>
    <xf numFmtId="0" fontId="6" fillId="13" borderId="21" xfId="0" applyFont="1" applyFill="1" applyBorder="1" applyAlignment="1">
      <alignment horizontal="center"/>
    </xf>
    <xf numFmtId="0" fontId="0" fillId="16" borderId="11" xfId="0" applyFill="1" applyBorder="1" applyAlignment="1">
      <alignment horizontal="center"/>
    </xf>
    <xf numFmtId="0" fontId="1" fillId="16" borderId="16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18" borderId="18" xfId="0" applyFont="1" applyFill="1" applyBorder="1" applyAlignment="1">
      <alignment horizontal="center"/>
    </xf>
    <xf numFmtId="0" fontId="0" fillId="13" borderId="6" xfId="0" applyFill="1" applyBorder="1" applyAlignment="1">
      <alignment horizontal="center"/>
    </xf>
    <xf numFmtId="0" fontId="1" fillId="20" borderId="6" xfId="0" applyFont="1" applyFill="1" applyBorder="1" applyAlignment="1">
      <alignment horizontal="center"/>
    </xf>
    <xf numFmtId="0" fontId="0" fillId="20" borderId="6" xfId="0" applyFill="1" applyBorder="1" applyAlignment="1">
      <alignment horizontal="center"/>
    </xf>
    <xf numFmtId="0" fontId="0" fillId="13" borderId="27" xfId="0" applyFill="1" applyBorder="1" applyAlignment="1">
      <alignment horizontal="center"/>
    </xf>
    <xf numFmtId="0" fontId="0" fillId="7" borderId="27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19" borderId="27" xfId="0" applyFill="1" applyBorder="1" applyAlignment="1">
      <alignment horizontal="center"/>
    </xf>
    <xf numFmtId="0" fontId="1" fillId="13" borderId="28" xfId="0" applyFont="1" applyFill="1" applyBorder="1" applyAlignment="1">
      <alignment horizontal="center"/>
    </xf>
    <xf numFmtId="0" fontId="1" fillId="7" borderId="29" xfId="0" applyFont="1" applyFill="1" applyBorder="1" applyAlignment="1">
      <alignment horizontal="center"/>
    </xf>
    <xf numFmtId="0" fontId="1" fillId="9" borderId="29" xfId="0" applyFont="1" applyFill="1" applyBorder="1" applyAlignment="1">
      <alignment horizontal="center"/>
    </xf>
    <xf numFmtId="0" fontId="1" fillId="19" borderId="30" xfId="0" applyFont="1" applyFill="1" applyBorder="1" applyAlignment="1">
      <alignment horizontal="center"/>
    </xf>
    <xf numFmtId="0" fontId="0" fillId="12" borderId="22" xfId="0" applyFont="1" applyFill="1" applyBorder="1" applyAlignment="1">
      <alignment horizontal="center"/>
    </xf>
    <xf numFmtId="0" fontId="0" fillId="12" borderId="16" xfId="0" applyFont="1" applyFill="1" applyBorder="1" applyAlignment="1">
      <alignment horizontal="center"/>
    </xf>
    <xf numFmtId="0" fontId="0" fillId="12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0" fillId="3" borderId="7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1" xfId="0" applyFill="1" applyBorder="1"/>
    <xf numFmtId="0" fontId="0" fillId="10" borderId="9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0" xfId="1" applyNumberFormat="1" applyFont="1"/>
    <xf numFmtId="0" fontId="0" fillId="22" borderId="6" xfId="0" applyFill="1" applyBorder="1" applyAlignment="1">
      <alignment horizontal="center"/>
    </xf>
    <xf numFmtId="0" fontId="0" fillId="0" borderId="0" xfId="0" applyAlignment="1">
      <alignment textRotation="255"/>
    </xf>
    <xf numFmtId="0" fontId="0" fillId="0" borderId="6" xfId="0" applyBorder="1" applyAlignment="1">
      <alignment horizontal="center"/>
    </xf>
    <xf numFmtId="0" fontId="1" fillId="0" borderId="6" xfId="0" applyFont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1" fillId="6" borderId="16" xfId="0" applyFont="1" applyFill="1" applyBorder="1"/>
    <xf numFmtId="0" fontId="1" fillId="6" borderId="17" xfId="0" applyFont="1" applyFill="1" applyBorder="1"/>
    <xf numFmtId="0" fontId="1" fillId="6" borderId="18" xfId="0" applyFont="1" applyFill="1" applyBorder="1"/>
    <xf numFmtId="0" fontId="1" fillId="0" borderId="9" xfId="0" applyFont="1" applyBorder="1"/>
    <xf numFmtId="0" fontId="1" fillId="0" borderId="1" xfId="0" applyFont="1" applyBorder="1"/>
    <xf numFmtId="0" fontId="1" fillId="0" borderId="12" xfId="0" applyFont="1" applyBorder="1"/>
    <xf numFmtId="0" fontId="1" fillId="0" borderId="11" xfId="0" applyFont="1" applyBorder="1"/>
    <xf numFmtId="0" fontId="1" fillId="0" borderId="13" xfId="0" applyFont="1" applyBorder="1"/>
    <xf numFmtId="0" fontId="1" fillId="0" borderId="6" xfId="0" applyFont="1" applyBorder="1" applyAlignment="1">
      <alignment horizontal="center"/>
    </xf>
    <xf numFmtId="0" fontId="1" fillId="0" borderId="6" xfId="0" applyFont="1" applyFill="1" applyBorder="1"/>
    <xf numFmtId="0" fontId="0" fillId="0" borderId="6" xfId="0" applyFill="1" applyBorder="1"/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21" borderId="31" xfId="0" applyFill="1" applyBorder="1" applyAlignment="1">
      <alignment horizontal="center" textRotation="90"/>
    </xf>
    <xf numFmtId="0" fontId="0" fillId="0" borderId="0" xfId="0" applyAlignment="1">
      <alignment horizontal="center"/>
    </xf>
    <xf numFmtId="0" fontId="0" fillId="21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31"/>
    </mc:Choice>
    <mc:Fallback>
      <c:style val="31"/>
    </mc:Fallback>
  </mc:AlternateContent>
  <c:chart>
    <c:title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numRef>
              <c:f>Sheet6!$F$7:$F$12</c:f>
              <c:numCache>
                <c:formatCode>General</c:formatCode>
                <c:ptCount val="6"/>
                <c:pt idx="0">
                  <c:v>800</c:v>
                </c:pt>
                <c:pt idx="1">
                  <c:v>1200</c:v>
                </c:pt>
                <c:pt idx="2">
                  <c:v>10500</c:v>
                </c:pt>
                <c:pt idx="3">
                  <c:v>1350</c:v>
                </c:pt>
                <c:pt idx="4">
                  <c:v>3200</c:v>
                </c:pt>
                <c:pt idx="5">
                  <c:v>40000</c:v>
                </c:pt>
              </c:numCache>
            </c:numRef>
          </c:cat>
          <c:val>
            <c:numRef>
              <c:f>Sheet6!$F$7:$F$12</c:f>
              <c:numCache>
                <c:formatCode>General</c:formatCode>
                <c:ptCount val="6"/>
                <c:pt idx="0">
                  <c:v>800</c:v>
                </c:pt>
                <c:pt idx="1">
                  <c:v>1200</c:v>
                </c:pt>
                <c:pt idx="2">
                  <c:v>10500</c:v>
                </c:pt>
                <c:pt idx="3">
                  <c:v>1350</c:v>
                </c:pt>
                <c:pt idx="4">
                  <c:v>3200</c:v>
                </c:pt>
                <c:pt idx="5">
                  <c:v>40000</c:v>
                </c:pt>
              </c:numCache>
            </c:numRef>
          </c:val>
        </c:ser>
        <c:ser>
          <c:idx val="1"/>
          <c:order val="1"/>
          <c:tx>
            <c:strRef>
              <c:f>Sheet6!$F$6:$F$12</c:f>
              <c:strCache>
                <c:ptCount val="1"/>
                <c:pt idx="0">
                  <c:v>TOTAL SALES 800 1200 10500 1350 3200 40000</c:v>
                </c:pt>
              </c:strCache>
            </c:strRef>
          </c:tx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numRef>
              <c:f>Sheet6!$F$7:$F$12</c:f>
              <c:numCache>
                <c:formatCode>General</c:formatCode>
                <c:ptCount val="6"/>
                <c:pt idx="0">
                  <c:v>800</c:v>
                </c:pt>
                <c:pt idx="1">
                  <c:v>1200</c:v>
                </c:pt>
                <c:pt idx="2">
                  <c:v>10500</c:v>
                </c:pt>
                <c:pt idx="3">
                  <c:v>1350</c:v>
                </c:pt>
                <c:pt idx="4">
                  <c:v>3200</c:v>
                </c:pt>
                <c:pt idx="5">
                  <c:v>40000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val>
            <c:numRef>
              <c:f>Sheet6!$G$7:$G$12</c:f>
              <c:numCache>
                <c:formatCode>General</c:formatCode>
                <c:ptCount val="6"/>
                <c:pt idx="0">
                  <c:v>3000</c:v>
                </c:pt>
                <c:pt idx="1">
                  <c:v>40000</c:v>
                </c:pt>
                <c:pt idx="2">
                  <c:v>50000</c:v>
                </c:pt>
                <c:pt idx="3">
                  <c:v>5000</c:v>
                </c:pt>
                <c:pt idx="4">
                  <c:v>40000</c:v>
                </c:pt>
                <c:pt idx="5">
                  <c:v>15000</c:v>
                </c:pt>
              </c:numCache>
            </c:numRef>
          </c:val>
        </c:ser>
        <c:ser>
          <c:idx val="1"/>
          <c:order val="1"/>
          <c:invertIfNegative val="0"/>
          <c:val>
            <c:numRef>
              <c:f>Sheet6!$H$7:$H$12</c:f>
              <c:numCache>
                <c:formatCode>General</c:formatCode>
                <c:ptCount val="6"/>
                <c:pt idx="0">
                  <c:v>2998</c:v>
                </c:pt>
                <c:pt idx="1">
                  <c:v>39996</c:v>
                </c:pt>
                <c:pt idx="2">
                  <c:v>49970</c:v>
                </c:pt>
                <c:pt idx="3">
                  <c:v>4997</c:v>
                </c:pt>
                <c:pt idx="4">
                  <c:v>39996</c:v>
                </c:pt>
                <c:pt idx="5">
                  <c:v>14960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3662592"/>
        <c:axId val="133664128"/>
        <c:axId val="0"/>
      </c:bar3DChart>
      <c:catAx>
        <c:axId val="133662592"/>
        <c:scaling>
          <c:orientation val="minMax"/>
        </c:scaling>
        <c:delete val="0"/>
        <c:axPos val="b"/>
        <c:majorTickMark val="out"/>
        <c:minorTickMark val="none"/>
        <c:tickLblPos val="nextTo"/>
        <c:crossAx val="133664128"/>
        <c:crosses val="autoZero"/>
        <c:auto val="1"/>
        <c:lblAlgn val="ctr"/>
        <c:lblOffset val="100"/>
        <c:noMultiLvlLbl val="0"/>
      </c:catAx>
      <c:valAx>
        <c:axId val="1336641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36625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16</xdr:row>
      <xdr:rowOff>49530</xdr:rowOff>
    </xdr:from>
    <xdr:to>
      <xdr:col>6</xdr:col>
      <xdr:colOff>472440</xdr:colOff>
      <xdr:row>31</xdr:row>
      <xdr:rowOff>49530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137160</xdr:colOff>
      <xdr:row>15</xdr:row>
      <xdr:rowOff>156210</xdr:rowOff>
    </xdr:from>
    <xdr:to>
      <xdr:col>16</xdr:col>
      <xdr:colOff>312420</xdr:colOff>
      <xdr:row>30</xdr:row>
      <xdr:rowOff>156210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Table2" displayName="Table2" ref="A4:L19" headerRowCount="0" totalsRowShown="0" headerRowDxfId="13" dataDxfId="12">
  <tableColumns count="12">
    <tableColumn id="1" name="Column1" dataDxfId="11"/>
    <tableColumn id="2" name="Column2" dataDxfId="10"/>
    <tableColumn id="3" name="Column3" dataDxfId="9"/>
    <tableColumn id="4" name="Column4" dataDxfId="8"/>
    <tableColumn id="5" name="Column5" dataDxfId="7"/>
    <tableColumn id="6" name="Column6" dataDxfId="6"/>
    <tableColumn id="7" name="Column7" dataDxfId="5"/>
    <tableColumn id="8" name="Column8" dataDxfId="4"/>
    <tableColumn id="9" name="Column9" dataDxfId="3"/>
    <tableColumn id="10" name="Column10" dataDxfId="2"/>
    <tableColumn id="11" name="Column11" dataDxfId="1"/>
    <tableColumn id="12" name="Column12" dataDxfId="0"/>
  </tableColumns>
  <tableStyleInfo name="TableStyleLight5" showFirstColumn="0" showLastColumn="0" showRowStripes="1" showColumnStripes="0"/>
</table>
</file>

<file path=xl/tables/table2.xml><?xml version="1.0" encoding="utf-8"?>
<table xmlns="http://schemas.openxmlformats.org/spreadsheetml/2006/main" id="5" name="Table5" displayName="Table5" ref="S26:V34" headerRowCount="0" totalsRowShown="0">
  <tableColumns count="4">
    <tableColumn id="1" name="Column1"/>
    <tableColumn id="2" name="Column2"/>
    <tableColumn id="3" name="Column3"/>
    <tableColumn id="4" name="Column4"/>
  </tableColumns>
  <tableStyleInfo name="TableStyleMedium27" showFirstColumn="0" showLastColumn="0" showRowStripes="1" showColumnStripes="0"/>
</table>
</file>

<file path=xl/tables/table3.xml><?xml version="1.0" encoding="utf-8"?>
<table xmlns="http://schemas.openxmlformats.org/spreadsheetml/2006/main" id="6" name="Table6" displayName="Table6" ref="Y26:AA34" headerRowCount="0" totalsRowShown="0">
  <tableColumns count="3">
    <tableColumn id="1" name="Column1"/>
    <tableColumn id="2" name="Column2"/>
    <tableColumn id="3" name="Column3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6:AB19"/>
  <sheetViews>
    <sheetView workbookViewId="0">
      <selection activeCell="AB18" sqref="AB18"/>
    </sheetView>
  </sheetViews>
  <sheetFormatPr defaultRowHeight="14.4" x14ac:dyDescent="0.3"/>
  <cols>
    <col min="10" max="10" width="21.6640625" customWidth="1"/>
    <col min="11" max="11" width="22" customWidth="1"/>
    <col min="12" max="12" width="22.33203125" customWidth="1"/>
    <col min="13" max="13" width="21.33203125" customWidth="1"/>
    <col min="14" max="14" width="24.44140625" customWidth="1"/>
    <col min="20" max="20" width="13.6640625" customWidth="1"/>
    <col min="22" max="22" width="112.77734375" customWidth="1"/>
    <col min="27" max="27" width="19.21875" customWidth="1"/>
    <col min="28" max="28" width="19.33203125" customWidth="1"/>
  </cols>
  <sheetData>
    <row r="6" spans="4:28" ht="15" thickBot="1" x14ac:dyDescent="0.35"/>
    <row r="7" spans="4:28" ht="15" thickBot="1" x14ac:dyDescent="0.35">
      <c r="D7" s="131" t="s">
        <v>196</v>
      </c>
      <c r="E7" s="132"/>
      <c r="F7" s="132"/>
      <c r="G7" s="133"/>
    </row>
    <row r="8" spans="4:28" x14ac:dyDescent="0.3">
      <c r="D8" s="134" t="s">
        <v>189</v>
      </c>
      <c r="E8" s="134"/>
      <c r="F8" s="134"/>
      <c r="G8" s="5">
        <f>AVERAGE(Sheet5!K3:K7)</f>
        <v>77.099999999999994</v>
      </c>
    </row>
    <row r="9" spans="4:28" x14ac:dyDescent="0.3">
      <c r="D9" s="135" t="s">
        <v>187</v>
      </c>
      <c r="E9" s="135"/>
      <c r="F9" s="135"/>
      <c r="G9" s="3">
        <f>COUNTIF(Sheet5!L3:L7,"PASS")</f>
        <v>4</v>
      </c>
      <c r="Z9" s="113" t="s">
        <v>219</v>
      </c>
      <c r="AA9" s="113" t="s">
        <v>220</v>
      </c>
      <c r="AB9" s="113" t="s">
        <v>221</v>
      </c>
    </row>
    <row r="10" spans="4:28" x14ac:dyDescent="0.3">
      <c r="D10" s="135" t="s">
        <v>188</v>
      </c>
      <c r="E10" s="135"/>
      <c r="F10" s="135"/>
      <c r="G10" s="3">
        <f>COUNTIF(Sheet5!L3:L7,"FAIL")</f>
        <v>1</v>
      </c>
      <c r="J10" s="113" t="s">
        <v>200</v>
      </c>
      <c r="K10" s="113" t="s">
        <v>197</v>
      </c>
      <c r="L10" s="113" t="s">
        <v>198</v>
      </c>
      <c r="M10" s="113" t="s">
        <v>199</v>
      </c>
      <c r="N10" s="129" t="s">
        <v>201</v>
      </c>
      <c r="T10" s="113" t="s">
        <v>86</v>
      </c>
      <c r="U10" s="113" t="s">
        <v>208</v>
      </c>
      <c r="V10" s="113" t="s">
        <v>209</v>
      </c>
      <c r="Z10" s="108">
        <v>111556</v>
      </c>
      <c r="AA10" s="108">
        <v>111556</v>
      </c>
      <c r="AB10" s="108" t="str">
        <f>REPT("0",6-LEN(Z10))&amp;Z10</f>
        <v>111556</v>
      </c>
    </row>
    <row r="11" spans="4:28" x14ac:dyDescent="0.3">
      <c r="D11" s="135" t="s">
        <v>193</v>
      </c>
      <c r="E11" s="135"/>
      <c r="F11" s="135"/>
      <c r="G11" s="3">
        <f>COUNTIF(Sheet5!M3:M7,"A")</f>
        <v>3</v>
      </c>
      <c r="J11" s="3" t="s">
        <v>202</v>
      </c>
      <c r="K11" s="3" t="str">
        <f>PROPER(J11)</f>
        <v>Today Is Not    Goodday</v>
      </c>
      <c r="L11" s="3" t="str">
        <f>UPPER(J11)</f>
        <v>TODAY IS NOT    GOODDAY</v>
      </c>
      <c r="M11" s="3" t="str">
        <f>LOWER(J11)</f>
        <v>today is not    goodday</v>
      </c>
      <c r="N11" s="3" t="str">
        <f>TRIM(J11)</f>
        <v>TodAy Is Not GoOdDAy</v>
      </c>
      <c r="T11" s="3" t="s">
        <v>210</v>
      </c>
      <c r="U11" s="3">
        <v>2</v>
      </c>
      <c r="V11" s="3" t="str">
        <f>REPT(T11,U11)</f>
        <v>SOOMINSOOMIN</v>
      </c>
      <c r="Z11" s="108">
        <v>5642</v>
      </c>
      <c r="AA11" s="108">
        <v>5642</v>
      </c>
      <c r="AB11" s="108" t="str">
        <f t="shared" ref="AB11:AB16" si="0">REPT("0",6-LEN(Z11))&amp;Z11</f>
        <v>005642</v>
      </c>
    </row>
    <row r="12" spans="4:28" x14ac:dyDescent="0.3">
      <c r="D12" s="135" t="s">
        <v>194</v>
      </c>
      <c r="E12" s="135"/>
      <c r="F12" s="135"/>
      <c r="G12" s="3">
        <f>COUNTIF(Sheet5!M3:M7,"B")</f>
        <v>2</v>
      </c>
      <c r="J12" s="3" t="s">
        <v>203</v>
      </c>
      <c r="K12" s="3" t="str">
        <f>PROPER(J12)</f>
        <v xml:space="preserve">Ayisha Is Acting   Weird   </v>
      </c>
      <c r="L12" s="3" t="str">
        <f>UPPER(J12)</f>
        <v xml:space="preserve">AYISHA IS ACTING   WEIRD   </v>
      </c>
      <c r="M12" s="3" t="str">
        <f>LOWER(J12)</f>
        <v xml:space="preserve">ayisha is acting   weird   </v>
      </c>
      <c r="N12" s="3" t="str">
        <f>TRIM(J12)</f>
        <v>AyIshA IS aCtINg WEiRd</v>
      </c>
      <c r="T12" s="3" t="s">
        <v>211</v>
      </c>
      <c r="U12" s="3">
        <v>3</v>
      </c>
      <c r="V12" s="3" t="str">
        <f t="shared" ref="V12:V19" si="1">REPT(T12,U12)</f>
        <v>DONGWOOKDONGWOOKDONGWOOK</v>
      </c>
      <c r="Z12" s="108">
        <v>112568</v>
      </c>
      <c r="AA12" s="108">
        <v>112568</v>
      </c>
      <c r="AB12" s="108" t="str">
        <f t="shared" si="0"/>
        <v>112568</v>
      </c>
    </row>
    <row r="13" spans="4:28" x14ac:dyDescent="0.3">
      <c r="D13" s="135" t="s">
        <v>195</v>
      </c>
      <c r="E13" s="135"/>
      <c r="F13" s="135"/>
      <c r="G13" s="3">
        <f>COUNTIF(Sheet5!M3:M7,"C")</f>
        <v>0</v>
      </c>
      <c r="T13" s="3" t="s">
        <v>212</v>
      </c>
      <c r="U13" s="3">
        <v>4</v>
      </c>
      <c r="V13" s="3" t="str">
        <f t="shared" si="1"/>
        <v>JUNYOUNGJUNYOUNGJUNYOUNGJUNYOUNG</v>
      </c>
      <c r="Z13" s="108">
        <v>35</v>
      </c>
      <c r="AA13" s="108">
        <v>35</v>
      </c>
      <c r="AB13" s="108" t="str">
        <f t="shared" si="0"/>
        <v>000035</v>
      </c>
    </row>
    <row r="14" spans="4:28" x14ac:dyDescent="0.3">
      <c r="T14" s="3" t="s">
        <v>213</v>
      </c>
      <c r="U14" s="3">
        <v>5</v>
      </c>
      <c r="V14" s="3" t="str">
        <f t="shared" si="1"/>
        <v>SUNGHYOONSUNGHYOONSUNGHYOONSUNGHYOONSUNGHYOON</v>
      </c>
      <c r="Z14" s="108">
        <v>29</v>
      </c>
      <c r="AA14" s="108">
        <v>29</v>
      </c>
      <c r="AB14" s="108" t="str">
        <f t="shared" si="0"/>
        <v>000029</v>
      </c>
    </row>
    <row r="15" spans="4:28" x14ac:dyDescent="0.3">
      <c r="J15" s="11" t="s">
        <v>200</v>
      </c>
      <c r="K15" s="11" t="s">
        <v>204</v>
      </c>
      <c r="L15" s="11" t="s">
        <v>205</v>
      </c>
      <c r="M15" s="11" t="s">
        <v>206</v>
      </c>
      <c r="N15" s="11" t="s">
        <v>207</v>
      </c>
      <c r="T15" s="3" t="s">
        <v>214</v>
      </c>
      <c r="U15" s="3">
        <v>6</v>
      </c>
      <c r="V15" s="3" t="str">
        <f t="shared" si="1"/>
        <v>REHYONREHYONREHYONREHYONREHYONREHYON</v>
      </c>
      <c r="Z15" s="108">
        <v>23564</v>
      </c>
      <c r="AA15" s="108">
        <v>23564</v>
      </c>
      <c r="AB15" s="108" t="str">
        <f t="shared" si="0"/>
        <v>023564</v>
      </c>
    </row>
    <row r="16" spans="4:28" x14ac:dyDescent="0.3">
      <c r="J16" s="108">
        <v>7584</v>
      </c>
      <c r="K16" s="108" t="str">
        <f>T(J16)</f>
        <v/>
      </c>
      <c r="L16" s="108">
        <f>N(J16)</f>
        <v>7584</v>
      </c>
      <c r="M16" s="108">
        <f>VALUE(J16)</f>
        <v>7584</v>
      </c>
      <c r="N16" s="108" t="b">
        <f>ISNUMBER(J16)</f>
        <v>1</v>
      </c>
      <c r="T16" s="3" t="s">
        <v>215</v>
      </c>
      <c r="U16" s="3">
        <v>7</v>
      </c>
      <c r="V16" s="3" t="str">
        <f t="shared" si="1"/>
        <v>AH-YEONAH-YEONAH-YEONAH-YEONAH-YEONAH-YEONAH-YEON</v>
      </c>
      <c r="Z16" s="108">
        <v>7832</v>
      </c>
      <c r="AA16" s="108">
        <v>7832</v>
      </c>
      <c r="AB16" s="108" t="str">
        <f t="shared" si="0"/>
        <v>007832</v>
      </c>
    </row>
    <row r="17" spans="10:22" x14ac:dyDescent="0.3">
      <c r="J17" s="108">
        <v>7896</v>
      </c>
      <c r="K17" s="108" t="str">
        <f t="shared" ref="K17:K19" si="2">T(J17)</f>
        <v/>
      </c>
      <c r="L17" s="108">
        <f t="shared" ref="L17:L19" si="3">N(J17)</f>
        <v>7896</v>
      </c>
      <c r="M17" s="108">
        <f t="shared" ref="M17:M19" si="4">VALUE(J17)</f>
        <v>7896</v>
      </c>
      <c r="N17" s="108" t="b">
        <f t="shared" ref="N17:N19" si="5">ISNUMBER(J17)</f>
        <v>1</v>
      </c>
      <c r="T17" s="3" t="s">
        <v>216</v>
      </c>
      <c r="U17" s="3">
        <v>7</v>
      </c>
      <c r="V17" s="3" t="str">
        <f t="shared" si="1"/>
        <v>KIM TAEHYUNGKIM TAEHYUNGKIM TAEHYUNGKIM TAEHYUNGKIM TAEHYUNGKIM TAEHYUNGKIM TAEHYUNG</v>
      </c>
    </row>
    <row r="18" spans="10:22" x14ac:dyDescent="0.3">
      <c r="J18" s="108">
        <v>2358</v>
      </c>
      <c r="K18" s="108" t="str">
        <f t="shared" si="2"/>
        <v/>
      </c>
      <c r="L18" s="108">
        <f t="shared" si="3"/>
        <v>2358</v>
      </c>
      <c r="M18" s="108">
        <f t="shared" si="4"/>
        <v>2358</v>
      </c>
      <c r="N18" s="108" t="b">
        <f t="shared" si="5"/>
        <v>1</v>
      </c>
      <c r="T18" s="130" t="s">
        <v>217</v>
      </c>
      <c r="U18" s="130">
        <v>8</v>
      </c>
      <c r="V18" s="130" t="str">
        <f t="shared" si="1"/>
        <v>MMMMMMMMMMMMMMMMMMMMMMMMMMMMMMMMMMMMMMMMMMMMMMMM</v>
      </c>
    </row>
    <row r="19" spans="10:22" x14ac:dyDescent="0.3">
      <c r="J19" s="108">
        <v>2348</v>
      </c>
      <c r="K19" s="108" t="str">
        <f t="shared" si="2"/>
        <v/>
      </c>
      <c r="L19" s="108">
        <f t="shared" si="3"/>
        <v>2348</v>
      </c>
      <c r="M19" s="108">
        <f t="shared" si="4"/>
        <v>2348</v>
      </c>
      <c r="N19" s="108" t="b">
        <f t="shared" si="5"/>
        <v>1</v>
      </c>
      <c r="T19" s="130" t="s">
        <v>218</v>
      </c>
      <c r="U19" s="130">
        <v>9</v>
      </c>
      <c r="V19" s="130" t="str">
        <f t="shared" si="1"/>
        <v>MWEHEHEHEHMWEHEHEHEHMWEHEHEHEHMWEHEHEHEHMWEHEHEHEHMWEHEHEHEHMWEHEHEHEHMWEHEHEHEHMWEHEHEHEH</v>
      </c>
    </row>
  </sheetData>
  <mergeCells count="7">
    <mergeCell ref="D12:F12"/>
    <mergeCell ref="D13:F13"/>
    <mergeCell ref="D7:G7"/>
    <mergeCell ref="D8:F8"/>
    <mergeCell ref="D9:F9"/>
    <mergeCell ref="D10:F10"/>
    <mergeCell ref="D11:F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>
      <selection activeCell="A2" sqref="A2"/>
    </sheetView>
  </sheetViews>
  <sheetFormatPr defaultRowHeight="14.4" x14ac:dyDescent="0.3"/>
  <cols>
    <col min="3" max="3" width="9.88671875" customWidth="1"/>
    <col min="12" max="12" width="14.77734375" customWidth="1"/>
  </cols>
  <sheetData>
    <row r="1" spans="1:13" ht="15" thickBot="1" x14ac:dyDescent="0.35"/>
    <row r="2" spans="1:13" ht="15" thickBot="1" x14ac:dyDescent="0.35">
      <c r="A2" s="120"/>
      <c r="B2" s="121" t="s">
        <v>122</v>
      </c>
      <c r="C2" s="121" t="s">
        <v>86</v>
      </c>
      <c r="D2" s="121" t="s">
        <v>176</v>
      </c>
      <c r="E2" s="121" t="s">
        <v>177</v>
      </c>
      <c r="F2" s="121" t="s">
        <v>178</v>
      </c>
      <c r="G2" s="121" t="s">
        <v>179</v>
      </c>
      <c r="H2" s="121" t="s">
        <v>180</v>
      </c>
      <c r="I2" s="121" t="s">
        <v>181</v>
      </c>
      <c r="J2" s="121" t="s">
        <v>182</v>
      </c>
      <c r="K2" s="121" t="s">
        <v>183</v>
      </c>
      <c r="L2" s="121" t="s">
        <v>184</v>
      </c>
      <c r="M2" s="122" t="s">
        <v>131</v>
      </c>
    </row>
    <row r="3" spans="1:13" ht="15" thickBot="1" x14ac:dyDescent="0.35">
      <c r="A3" s="114">
        <v>1</v>
      </c>
      <c r="B3" s="115">
        <v>711</v>
      </c>
      <c r="C3" s="115" t="s">
        <v>191</v>
      </c>
      <c r="D3" s="115">
        <v>75</v>
      </c>
      <c r="E3" s="115">
        <v>63</v>
      </c>
      <c r="F3" s="115">
        <v>88</v>
      </c>
      <c r="G3" s="115">
        <v>73</v>
      </c>
      <c r="H3" s="115">
        <v>83</v>
      </c>
      <c r="I3" s="115">
        <v>87</v>
      </c>
      <c r="J3" s="115">
        <f>SUM(D3:I3)</f>
        <v>469</v>
      </c>
      <c r="K3" s="115">
        <f>AVERAGE(D3:I3)</f>
        <v>78.166666666666671</v>
      </c>
      <c r="L3" s="115" t="str">
        <f>IF(OR(D3&lt;35,E3&lt;35,F3&lt;35,G3&lt;35,H3&lt;35,I3&lt;35),"FAIL","PASS")</f>
        <v>PASS</v>
      </c>
      <c r="M3" s="116" t="str">
        <f>IF(K3&gt;75,"A","B")</f>
        <v>A</v>
      </c>
    </row>
    <row r="4" spans="1:13" ht="15" thickBot="1" x14ac:dyDescent="0.35">
      <c r="A4" s="6">
        <v>2</v>
      </c>
      <c r="B4" s="3">
        <v>722</v>
      </c>
      <c r="C4" s="3" t="s">
        <v>190</v>
      </c>
      <c r="D4" s="3">
        <v>96</v>
      </c>
      <c r="E4" s="3">
        <v>88</v>
      </c>
      <c r="F4" s="3">
        <v>97</v>
      </c>
      <c r="G4" s="3">
        <v>79</v>
      </c>
      <c r="H4" s="3">
        <v>96</v>
      </c>
      <c r="I4" s="3">
        <v>99</v>
      </c>
      <c r="J4" s="3">
        <f t="shared" ref="J4:J7" si="0">SUM(D4:I4)</f>
        <v>555</v>
      </c>
      <c r="K4" s="3">
        <f t="shared" ref="K4:K7" si="1">AVERAGE(D4:I4)</f>
        <v>92.5</v>
      </c>
      <c r="L4" s="115" t="str">
        <f t="shared" ref="L4:L7" si="2">IF(OR(D4&lt;35,E4&lt;35,F4&lt;35,G4&lt;35,H4&lt;35,I4&lt;35),"FAIL","PASS")</f>
        <v>PASS</v>
      </c>
      <c r="M4" s="7" t="str">
        <f t="shared" ref="M4:M7" si="3">IF(K4&gt;75,"A","B")</f>
        <v>A</v>
      </c>
    </row>
    <row r="5" spans="1:13" ht="15" thickBot="1" x14ac:dyDescent="0.35">
      <c r="A5" s="6">
        <v>3</v>
      </c>
      <c r="B5" s="3">
        <v>733</v>
      </c>
      <c r="C5" s="3" t="s">
        <v>186</v>
      </c>
      <c r="D5" s="3">
        <v>82</v>
      </c>
      <c r="E5" s="3">
        <v>74</v>
      </c>
      <c r="F5" s="3">
        <v>44</v>
      </c>
      <c r="G5" s="3">
        <v>81</v>
      </c>
      <c r="H5" s="3">
        <v>74</v>
      </c>
      <c r="I5" s="3">
        <v>62</v>
      </c>
      <c r="J5" s="3">
        <f t="shared" si="0"/>
        <v>417</v>
      </c>
      <c r="K5" s="3">
        <f t="shared" si="1"/>
        <v>69.5</v>
      </c>
      <c r="L5" s="115" t="str">
        <f t="shared" si="2"/>
        <v>PASS</v>
      </c>
      <c r="M5" s="7" t="str">
        <f t="shared" si="3"/>
        <v>B</v>
      </c>
    </row>
    <row r="6" spans="1:13" ht="15" thickBot="1" x14ac:dyDescent="0.35">
      <c r="A6" s="6">
        <v>4</v>
      </c>
      <c r="B6" s="3">
        <v>744</v>
      </c>
      <c r="C6" s="3" t="s">
        <v>192</v>
      </c>
      <c r="D6" s="3">
        <v>66</v>
      </c>
      <c r="E6" s="3">
        <v>84</v>
      </c>
      <c r="F6" s="3">
        <v>77</v>
      </c>
      <c r="G6" s="3">
        <v>93</v>
      </c>
      <c r="H6" s="3">
        <v>65</v>
      </c>
      <c r="I6" s="3">
        <v>77</v>
      </c>
      <c r="J6" s="3">
        <f t="shared" si="0"/>
        <v>462</v>
      </c>
      <c r="K6" s="3">
        <f t="shared" si="1"/>
        <v>77</v>
      </c>
      <c r="L6" s="115" t="str">
        <f t="shared" si="2"/>
        <v>PASS</v>
      </c>
      <c r="M6" s="7" t="str">
        <f t="shared" si="3"/>
        <v>A</v>
      </c>
    </row>
    <row r="7" spans="1:13" ht="15" thickBot="1" x14ac:dyDescent="0.35">
      <c r="A7" s="117">
        <v>5</v>
      </c>
      <c r="B7" s="118">
        <v>755</v>
      </c>
      <c r="C7" s="118" t="s">
        <v>185</v>
      </c>
      <c r="D7" s="118">
        <v>79</v>
      </c>
      <c r="E7" s="118">
        <v>30</v>
      </c>
      <c r="F7" s="118">
        <v>68</v>
      </c>
      <c r="G7" s="118">
        <v>88</v>
      </c>
      <c r="H7" s="118">
        <v>82</v>
      </c>
      <c r="I7" s="118">
        <v>63</v>
      </c>
      <c r="J7" s="118">
        <f t="shared" si="0"/>
        <v>410</v>
      </c>
      <c r="K7" s="118">
        <f t="shared" si="1"/>
        <v>68.333333333333329</v>
      </c>
      <c r="L7" s="115" t="str">
        <f t="shared" si="2"/>
        <v>FAIL</v>
      </c>
      <c r="M7" s="119" t="str">
        <f t="shared" si="3"/>
        <v>B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4"/>
  <sheetViews>
    <sheetView topLeftCell="O10" workbookViewId="0">
      <selection activeCell="K31" sqref="K31"/>
    </sheetView>
  </sheetViews>
  <sheetFormatPr defaultRowHeight="14.4" x14ac:dyDescent="0.3"/>
  <cols>
    <col min="1" max="1" width="10.109375" customWidth="1"/>
    <col min="2" max="2" width="17.88671875" customWidth="1"/>
    <col min="3" max="4" width="10.109375" customWidth="1"/>
    <col min="5" max="5" width="11.5546875" customWidth="1"/>
    <col min="6" max="8" width="10.109375" customWidth="1"/>
    <col min="9" max="9" width="18.33203125" customWidth="1"/>
    <col min="10" max="10" width="13.109375" customWidth="1"/>
    <col min="11" max="12" width="11.109375" customWidth="1"/>
    <col min="19" max="19" width="10.109375" customWidth="1"/>
    <col min="20" max="20" width="12.33203125" customWidth="1"/>
    <col min="21" max="21" width="13.44140625" customWidth="1"/>
    <col min="22" max="22" width="10.88671875" customWidth="1"/>
    <col min="25" max="25" width="10.109375" customWidth="1"/>
    <col min="26" max="26" width="12.109375" customWidth="1"/>
    <col min="27" max="27" width="10.109375" customWidth="1"/>
    <col min="30" max="30" width="8" customWidth="1"/>
    <col min="36" max="36" width="9.33203125" customWidth="1"/>
  </cols>
  <sheetData>
    <row r="1" spans="1:23" x14ac:dyDescent="0.3">
      <c r="A1" s="137" t="s">
        <v>121</v>
      </c>
      <c r="B1" s="137"/>
      <c r="C1">
        <v>600</v>
      </c>
    </row>
    <row r="4" spans="1:23" x14ac:dyDescent="0.3">
      <c r="A4" s="1" t="s">
        <v>122</v>
      </c>
      <c r="B4" s="1" t="s">
        <v>86</v>
      </c>
      <c r="C4" s="1" t="s">
        <v>123</v>
      </c>
      <c r="D4" s="1" t="s">
        <v>124</v>
      </c>
      <c r="E4" s="1" t="s">
        <v>125</v>
      </c>
      <c r="F4" s="1" t="s">
        <v>126</v>
      </c>
      <c r="G4" s="1" t="s">
        <v>127</v>
      </c>
      <c r="H4" s="1" t="s">
        <v>128</v>
      </c>
      <c r="I4" s="1" t="s">
        <v>129</v>
      </c>
      <c r="J4" s="1" t="s">
        <v>130</v>
      </c>
      <c r="K4" s="1" t="s">
        <v>131</v>
      </c>
      <c r="L4" s="1" t="s">
        <v>132</v>
      </c>
    </row>
    <row r="5" spans="1:23" x14ac:dyDescent="0.3">
      <c r="A5" s="1">
        <v>1</v>
      </c>
      <c r="B5" s="1" t="s">
        <v>133</v>
      </c>
      <c r="C5" s="1">
        <v>75</v>
      </c>
      <c r="D5" s="1">
        <v>66</v>
      </c>
      <c r="E5" s="1">
        <v>88</v>
      </c>
      <c r="F5" s="1">
        <v>68</v>
      </c>
      <c r="G5" s="1">
        <v>90</v>
      </c>
      <c r="H5" s="1">
        <v>88</v>
      </c>
      <c r="I5" s="1">
        <f>SUM(Table2[[#This Row],[Column3]:[Column8]])</f>
        <v>475</v>
      </c>
      <c r="J5" s="1">
        <f>I5/$C$1*100</f>
        <v>79.166666666666657</v>
      </c>
      <c r="K5" s="1" t="str">
        <f>IF(Table2[[#This Row],[Column10]]&gt;75,"A","B")</f>
        <v>A</v>
      </c>
      <c r="L5" s="1" t="str">
        <f>IF(OR(Table2[[#This Row],[Column3]]&lt;35,Table2[[#This Row],[Column4]]&lt;35,Table2[[#This Row],[Column5]]&lt;35,Table2[[#This Row],[Column6]]&lt;35,Table2[[#This Row],[Column7]]&lt;35,Table2[[#This Row],[Column8]]&lt;35),"FAIL","PASS")</f>
        <v>PASS</v>
      </c>
    </row>
    <row r="6" spans="1:23" x14ac:dyDescent="0.3">
      <c r="A6" s="1">
        <v>2</v>
      </c>
      <c r="B6" s="1" t="s">
        <v>134</v>
      </c>
      <c r="C6" s="1">
        <v>80</v>
      </c>
      <c r="D6" s="1">
        <v>72</v>
      </c>
      <c r="E6" s="1">
        <v>68</v>
      </c>
      <c r="F6" s="1">
        <v>84</v>
      </c>
      <c r="G6" s="1">
        <v>86</v>
      </c>
      <c r="H6" s="1">
        <v>53</v>
      </c>
      <c r="I6" s="1">
        <f>SUM(Table2[[#This Row],[Column3]:[Column8]])</f>
        <v>443</v>
      </c>
      <c r="J6" s="1">
        <f t="shared" ref="J6:J19" si="0">I6/$C$1*100</f>
        <v>73.833333333333329</v>
      </c>
      <c r="K6" s="1" t="str">
        <f>IF(Table2[[#This Row],[Column10]]&gt;75,"A","B")</f>
        <v>B</v>
      </c>
      <c r="L6" s="1" t="str">
        <f>IF(OR(Table2[[#This Row],[Column3]]&lt;35,Table2[[#This Row],[Column4]]&lt;35,Table2[[#This Row],[Column5]]&lt;35,Table2[[#This Row],[Column6]]&lt;35,Table2[[#This Row],[Column7]]&lt;35,Table2[[#This Row],[Column8]]&lt;35),"FAIL","PASS")</f>
        <v>PASS</v>
      </c>
    </row>
    <row r="7" spans="1:23" x14ac:dyDescent="0.3">
      <c r="A7" s="1">
        <v>3</v>
      </c>
      <c r="B7" s="1" t="s">
        <v>135</v>
      </c>
      <c r="C7" s="1">
        <v>66</v>
      </c>
      <c r="D7" s="1">
        <v>88</v>
      </c>
      <c r="E7" s="1">
        <v>49</v>
      </c>
      <c r="F7" s="1">
        <v>53</v>
      </c>
      <c r="G7" s="1">
        <v>73</v>
      </c>
      <c r="H7" s="1">
        <v>42</v>
      </c>
      <c r="I7" s="1">
        <f>SUM(Table2[[#This Row],[Column3]:[Column8]])</f>
        <v>371</v>
      </c>
      <c r="J7" s="1">
        <f t="shared" si="0"/>
        <v>61.833333333333329</v>
      </c>
      <c r="K7" s="1" t="str">
        <f>IF(Table2[[#This Row],[Column10]]&gt;75,"A","B")</f>
        <v>B</v>
      </c>
      <c r="L7" s="1" t="str">
        <f>IF(OR(Table2[[#This Row],[Column3]]&lt;35,Table2[[#This Row],[Column4]]&lt;35,Table2[[#This Row],[Column5]]&lt;35,Table2[[#This Row],[Column6]]&lt;35,Table2[[#This Row],[Column7]]&lt;35,Table2[[#This Row],[Column8]]&lt;35),"FAIL","PASS")</f>
        <v>PASS</v>
      </c>
    </row>
    <row r="8" spans="1:23" x14ac:dyDescent="0.3">
      <c r="A8" s="1">
        <v>4</v>
      </c>
      <c r="B8" s="1" t="s">
        <v>136</v>
      </c>
      <c r="C8" s="1">
        <v>45</v>
      </c>
      <c r="D8" s="1">
        <v>69</v>
      </c>
      <c r="E8" s="1">
        <v>52</v>
      </c>
      <c r="F8" s="1">
        <v>74</v>
      </c>
      <c r="G8" s="1">
        <v>85</v>
      </c>
      <c r="H8" s="1">
        <v>75</v>
      </c>
      <c r="I8" s="1">
        <f>SUM(Table2[[#This Row],[Column3]:[Column8]])</f>
        <v>400</v>
      </c>
      <c r="J8" s="1">
        <f t="shared" si="0"/>
        <v>66.666666666666657</v>
      </c>
      <c r="K8" s="1" t="str">
        <f>IF(Table2[[#This Row],[Column10]]&gt;75,"A","B")</f>
        <v>B</v>
      </c>
      <c r="L8" s="1" t="str">
        <f>IF(OR(Table2[[#This Row],[Column3]]&lt;35,Table2[[#This Row],[Column4]]&lt;35,Table2[[#This Row],[Column5]]&lt;35,Table2[[#This Row],[Column6]]&lt;35,Table2[[#This Row],[Column7]]&lt;35,Table2[[#This Row],[Column8]]&lt;35),"FAIL","PASS")</f>
        <v>PASS</v>
      </c>
    </row>
    <row r="9" spans="1:23" x14ac:dyDescent="0.3">
      <c r="A9" s="1">
        <v>5</v>
      </c>
      <c r="B9" s="1" t="s">
        <v>137</v>
      </c>
      <c r="C9" s="1">
        <v>80</v>
      </c>
      <c r="D9" s="1">
        <v>75</v>
      </c>
      <c r="E9" s="1">
        <v>76</v>
      </c>
      <c r="F9" s="1">
        <v>64</v>
      </c>
      <c r="G9" s="1">
        <v>74</v>
      </c>
      <c r="H9" s="1">
        <v>73</v>
      </c>
      <c r="I9" s="1">
        <f>SUM(Table2[[#This Row],[Column3]:[Column8]])</f>
        <v>442</v>
      </c>
      <c r="J9" s="1">
        <f t="shared" si="0"/>
        <v>73.666666666666671</v>
      </c>
      <c r="K9" s="1" t="str">
        <f>IF(Table2[[#This Row],[Column10]]&gt;75,"A","B")</f>
        <v>B</v>
      </c>
      <c r="L9" s="1" t="str">
        <f>IF(OR(Table2[[#This Row],[Column3]]&lt;35,Table2[[#This Row],[Column4]]&lt;35,Table2[[#This Row],[Column5]]&lt;35,Table2[[#This Row],[Column6]]&lt;35,Table2[[#This Row],[Column7]]&lt;35,Table2[[#This Row],[Column8]]&lt;35),"FAIL","PASS")</f>
        <v>PASS</v>
      </c>
    </row>
    <row r="10" spans="1:23" x14ac:dyDescent="0.3">
      <c r="A10" s="1">
        <v>6</v>
      </c>
      <c r="B10" s="1" t="s">
        <v>138</v>
      </c>
      <c r="C10" s="1">
        <v>95</v>
      </c>
      <c r="D10" s="1">
        <v>90</v>
      </c>
      <c r="E10" s="1">
        <v>99</v>
      </c>
      <c r="F10" s="1">
        <v>92</v>
      </c>
      <c r="G10" s="1">
        <v>95</v>
      </c>
      <c r="H10" s="1">
        <v>99</v>
      </c>
      <c r="I10" s="1">
        <f>SUM(Table2[[#This Row],[Column3]:[Column8]])</f>
        <v>570</v>
      </c>
      <c r="J10" s="1">
        <f t="shared" si="0"/>
        <v>95</v>
      </c>
      <c r="K10" s="1" t="str">
        <f>IF(Table2[[#This Row],[Column10]]&gt;75,"A","B")</f>
        <v>A</v>
      </c>
      <c r="L10" s="1" t="str">
        <f>IF(OR(Table2[[#This Row],[Column3]]&lt;35,Table2[[#This Row],[Column4]]&lt;35,Table2[[#This Row],[Column5]]&lt;35,Table2[[#This Row],[Column6]]&lt;35,Table2[[#This Row],[Column7]]&lt;35,Table2[[#This Row],[Column8]]&lt;35),"FAIL","PASS")</f>
        <v>PASS</v>
      </c>
    </row>
    <row r="11" spans="1:23" x14ac:dyDescent="0.3">
      <c r="A11" s="1">
        <v>7</v>
      </c>
      <c r="B11" s="1" t="s">
        <v>139</v>
      </c>
      <c r="C11" s="1">
        <v>90</v>
      </c>
      <c r="D11" s="1">
        <v>88</v>
      </c>
      <c r="E11" s="1">
        <v>46</v>
      </c>
      <c r="F11" s="1">
        <v>51</v>
      </c>
      <c r="G11" s="1">
        <v>85</v>
      </c>
      <c r="H11" s="1">
        <v>63</v>
      </c>
      <c r="I11" s="1">
        <f>SUM(Table2[[#This Row],[Column3]:[Column8]])</f>
        <v>423</v>
      </c>
      <c r="J11" s="1">
        <f t="shared" si="0"/>
        <v>70.5</v>
      </c>
      <c r="K11" s="1" t="str">
        <f>IF(Table2[[#This Row],[Column10]]&gt;75,"A","B")</f>
        <v>B</v>
      </c>
      <c r="L11" s="1" t="str">
        <f>IF(OR(Table2[[#This Row],[Column3]]&lt;35,Table2[[#This Row],[Column4]]&lt;35,Table2[[#This Row],[Column5]]&lt;35,Table2[[#This Row],[Column6]]&lt;35,Table2[[#This Row],[Column7]]&lt;35,Table2[[#This Row],[Column8]]&lt;35),"FAIL","PASS")</f>
        <v>PASS</v>
      </c>
    </row>
    <row r="12" spans="1:23" x14ac:dyDescent="0.3">
      <c r="A12" s="1">
        <v>8</v>
      </c>
      <c r="B12" s="1" t="s">
        <v>140</v>
      </c>
      <c r="C12" s="1">
        <v>84</v>
      </c>
      <c r="D12" s="1">
        <v>68</v>
      </c>
      <c r="E12" s="1">
        <v>52</v>
      </c>
      <c r="F12" s="1">
        <v>85</v>
      </c>
      <c r="G12" s="1">
        <v>63</v>
      </c>
      <c r="H12" s="1">
        <v>82</v>
      </c>
      <c r="I12" s="1">
        <f>SUM(Table2[[#This Row],[Column3]:[Column8]])</f>
        <v>434</v>
      </c>
      <c r="J12" s="1">
        <f t="shared" si="0"/>
        <v>72.333333333333343</v>
      </c>
      <c r="K12" s="1" t="str">
        <f>IF(Table2[[#This Row],[Column10]]&gt;75,"A","B")</f>
        <v>B</v>
      </c>
      <c r="L12" s="1" t="str">
        <f>IF(OR(Table2[[#This Row],[Column3]]&lt;35,Table2[[#This Row],[Column4]]&lt;35,Table2[[#This Row],[Column5]]&lt;35,Table2[[#This Row],[Column6]]&lt;35,Table2[[#This Row],[Column7]]&lt;35,Table2[[#This Row],[Column8]]&lt;35),"FAIL","PASS")</f>
        <v>PASS</v>
      </c>
      <c r="W12" s="111"/>
    </row>
    <row r="13" spans="1:23" x14ac:dyDescent="0.3">
      <c r="A13" s="1">
        <v>9</v>
      </c>
      <c r="B13" s="1" t="s">
        <v>141</v>
      </c>
      <c r="C13" s="1">
        <v>88</v>
      </c>
      <c r="D13" s="1">
        <v>77</v>
      </c>
      <c r="E13" s="1">
        <v>87</v>
      </c>
      <c r="F13" s="1">
        <v>74</v>
      </c>
      <c r="G13" s="1">
        <v>42</v>
      </c>
      <c r="H13" s="1">
        <v>74</v>
      </c>
      <c r="I13" s="1">
        <f>SUM(Table2[[#This Row],[Column3]:[Column8]])</f>
        <v>442</v>
      </c>
      <c r="J13" s="1">
        <f t="shared" si="0"/>
        <v>73.666666666666671</v>
      </c>
      <c r="K13" s="1" t="str">
        <f>IF(Table2[[#This Row],[Column10]]&gt;75,"A","B")</f>
        <v>B</v>
      </c>
      <c r="L13" s="1" t="str">
        <f>IF(OR(Table2[[#This Row],[Column3]]&lt;35,Table2[[#This Row],[Column4]]&lt;35,Table2[[#This Row],[Column5]]&lt;35,Table2[[#This Row],[Column6]]&lt;35,Table2[[#This Row],[Column7]]&lt;35,Table2[[#This Row],[Column8]]&lt;35),"FAIL","PASS")</f>
        <v>PASS</v>
      </c>
    </row>
    <row r="14" spans="1:23" x14ac:dyDescent="0.3">
      <c r="A14" s="1">
        <v>10</v>
      </c>
      <c r="B14" s="1" t="s">
        <v>142</v>
      </c>
      <c r="C14" s="1">
        <v>46</v>
      </c>
      <c r="D14" s="1">
        <v>67</v>
      </c>
      <c r="E14" s="1">
        <v>90</v>
      </c>
      <c r="F14" s="1">
        <v>45</v>
      </c>
      <c r="G14" s="1">
        <v>85</v>
      </c>
      <c r="H14" s="1">
        <v>52</v>
      </c>
      <c r="I14" s="1">
        <f>SUM(Table2[[#This Row],[Column3]:[Column8]])</f>
        <v>385</v>
      </c>
      <c r="J14" s="1">
        <f t="shared" si="0"/>
        <v>64.166666666666671</v>
      </c>
      <c r="K14" s="1" t="str">
        <f>IF(Table2[[#This Row],[Column10]]&gt;75,"A","B")</f>
        <v>B</v>
      </c>
      <c r="L14" s="1" t="str">
        <f>IF(OR(Table2[[#This Row],[Column3]]&lt;35,Table2[[#This Row],[Column4]]&lt;35,Table2[[#This Row],[Column5]]&lt;35,Table2[[#This Row],[Column6]]&lt;35,Table2[[#This Row],[Column7]]&lt;35,Table2[[#This Row],[Column8]]&lt;35),"FAIL","PASS")</f>
        <v>PASS</v>
      </c>
    </row>
    <row r="15" spans="1:23" x14ac:dyDescent="0.3">
      <c r="A15" s="1">
        <v>11</v>
      </c>
      <c r="B15" s="1" t="s">
        <v>143</v>
      </c>
      <c r="C15" s="1">
        <v>85</v>
      </c>
      <c r="D15" s="1">
        <v>76</v>
      </c>
      <c r="E15" s="1">
        <v>74</v>
      </c>
      <c r="F15" s="1">
        <v>81</v>
      </c>
      <c r="G15" s="1">
        <v>74</v>
      </c>
      <c r="H15" s="1">
        <v>41</v>
      </c>
      <c r="I15" s="1">
        <f>SUM(Table2[[#This Row],[Column3]:[Column8]])</f>
        <v>431</v>
      </c>
      <c r="J15" s="1">
        <f t="shared" si="0"/>
        <v>71.833333333333343</v>
      </c>
      <c r="K15" s="1" t="str">
        <f>IF(Table2[[#This Row],[Column10]]&gt;75,"A","B")</f>
        <v>B</v>
      </c>
      <c r="L15" s="1" t="str">
        <f>IF(OR(Table2[[#This Row],[Column3]]&lt;35,Table2[[#This Row],[Column4]]&lt;35,Table2[[#This Row],[Column5]]&lt;35,Table2[[#This Row],[Column6]]&lt;35,Table2[[#This Row],[Column7]]&lt;35,Table2[[#This Row],[Column8]]&lt;35),"FAIL","PASS")</f>
        <v>PASS</v>
      </c>
    </row>
    <row r="16" spans="1:23" x14ac:dyDescent="0.3">
      <c r="A16" s="1">
        <v>12</v>
      </c>
      <c r="B16" s="1" t="s">
        <v>145</v>
      </c>
      <c r="C16" s="1">
        <v>90</v>
      </c>
      <c r="D16" s="1">
        <v>47</v>
      </c>
      <c r="E16" s="1">
        <v>55</v>
      </c>
      <c r="F16" s="1">
        <v>63</v>
      </c>
      <c r="G16" s="1">
        <v>65</v>
      </c>
      <c r="H16" s="1">
        <v>63</v>
      </c>
      <c r="I16" s="1">
        <f>SUM(Table2[[#This Row],[Column3]:[Column8]])</f>
        <v>383</v>
      </c>
      <c r="J16" s="1">
        <f t="shared" si="0"/>
        <v>63.833333333333329</v>
      </c>
      <c r="K16" s="1" t="str">
        <f>IF(Table2[[#This Row],[Column10]]&gt;75,"A","B")</f>
        <v>B</v>
      </c>
      <c r="L16" s="1" t="str">
        <f>IF(OR(Table2[[#This Row],[Column3]]&lt;35,Table2[[#This Row],[Column4]]&lt;35,Table2[[#This Row],[Column5]]&lt;35,Table2[[#This Row],[Column6]]&lt;35,Table2[[#This Row],[Column7]]&lt;35,Table2[[#This Row],[Column8]]&lt;35),"FAIL","PASS")</f>
        <v>PASS</v>
      </c>
    </row>
    <row r="17" spans="1:35" x14ac:dyDescent="0.3">
      <c r="A17" s="1">
        <v>13</v>
      </c>
      <c r="B17" s="1" t="s">
        <v>146</v>
      </c>
      <c r="C17" s="1">
        <v>89</v>
      </c>
      <c r="D17" s="1">
        <v>56</v>
      </c>
      <c r="E17" s="1">
        <v>49</v>
      </c>
      <c r="F17" s="1">
        <v>73</v>
      </c>
      <c r="G17" s="1">
        <v>56</v>
      </c>
      <c r="H17" s="1">
        <v>95</v>
      </c>
      <c r="I17" s="1">
        <f>SUM(Table2[[#This Row],[Column3]:[Column8]])</f>
        <v>418</v>
      </c>
      <c r="J17" s="1">
        <f t="shared" si="0"/>
        <v>69.666666666666671</v>
      </c>
      <c r="K17" s="1" t="str">
        <f>IF(Table2[[#This Row],[Column10]]&gt;75,"A","B")</f>
        <v>B</v>
      </c>
      <c r="L17" s="1" t="str">
        <f>IF(OR(Table2[[#This Row],[Column3]]&lt;35,Table2[[#This Row],[Column4]]&lt;35,Table2[[#This Row],[Column5]]&lt;35,Table2[[#This Row],[Column6]]&lt;35,Table2[[#This Row],[Column7]]&lt;35,Table2[[#This Row],[Column8]]&lt;35),"FAIL","PASS")</f>
        <v>PASS</v>
      </c>
    </row>
    <row r="18" spans="1:35" x14ac:dyDescent="0.3">
      <c r="A18" s="1">
        <v>14</v>
      </c>
      <c r="B18" s="1" t="s">
        <v>147</v>
      </c>
      <c r="C18" s="1">
        <v>93</v>
      </c>
      <c r="D18" s="1">
        <v>58</v>
      </c>
      <c r="E18" s="1">
        <v>71</v>
      </c>
      <c r="F18" s="1">
        <v>85</v>
      </c>
      <c r="G18" s="1">
        <v>94</v>
      </c>
      <c r="H18" s="1">
        <v>75</v>
      </c>
      <c r="I18" s="1">
        <f>SUM(Table2[[#This Row],[Column3]:[Column8]])</f>
        <v>476</v>
      </c>
      <c r="J18" s="1">
        <f t="shared" si="0"/>
        <v>79.333333333333329</v>
      </c>
      <c r="K18" s="1" t="str">
        <f>IF(Table2[[#This Row],[Column10]]&gt;75,"A","B")</f>
        <v>A</v>
      </c>
      <c r="L18" s="1" t="str">
        <f>IF(OR(Table2[[#This Row],[Column3]]&lt;35,Table2[[#This Row],[Column4]]&lt;35,Table2[[#This Row],[Column5]]&lt;35,Table2[[#This Row],[Column6]]&lt;35,Table2[[#This Row],[Column7]]&lt;35,Table2[[#This Row],[Column8]]&lt;35),"FAIL","PASS")</f>
        <v>PASS</v>
      </c>
    </row>
    <row r="19" spans="1:35" x14ac:dyDescent="0.3">
      <c r="A19" s="1">
        <v>15</v>
      </c>
      <c r="B19" s="1" t="s">
        <v>144</v>
      </c>
      <c r="C19" s="1">
        <v>83</v>
      </c>
      <c r="D19" s="1">
        <v>77</v>
      </c>
      <c r="E19" s="1">
        <v>43</v>
      </c>
      <c r="F19" s="1">
        <v>44</v>
      </c>
      <c r="G19" s="1">
        <v>75</v>
      </c>
      <c r="H19" s="1">
        <v>84</v>
      </c>
      <c r="I19" s="1">
        <f>SUM(Table2[[#This Row],[Column3]:[Column8]])</f>
        <v>406</v>
      </c>
      <c r="J19" s="1">
        <f t="shared" si="0"/>
        <v>67.666666666666657</v>
      </c>
      <c r="K19" s="1" t="str">
        <f>IF(Table2[[#This Row],[Column10]]&gt;75,"A","B")</f>
        <v>B</v>
      </c>
      <c r="L19" s="1" t="str">
        <f>IF(OR(Table2[[#This Row],[Column3]]&lt;35,Table2[[#This Row],[Column4]]&lt;35,Table2[[#This Row],[Column5]]&lt;35,Table2[[#This Row],[Column6]]&lt;35,Table2[[#This Row],[Column7]]&lt;35,Table2[[#This Row],[Column8]]&lt;35),"FAIL","PASS")</f>
        <v>PASS</v>
      </c>
    </row>
    <row r="23" spans="1:35" x14ac:dyDescent="0.3">
      <c r="S23" s="1"/>
      <c r="T23" s="1"/>
    </row>
    <row r="24" spans="1:35" x14ac:dyDescent="0.3">
      <c r="S24" s="137" t="s">
        <v>160</v>
      </c>
      <c r="T24" s="137"/>
      <c r="Y24" s="137" t="s">
        <v>161</v>
      </c>
      <c r="Z24" s="137"/>
      <c r="AD24" s="137" t="s">
        <v>171</v>
      </c>
      <c r="AE24" s="137"/>
    </row>
    <row r="25" spans="1:35" x14ac:dyDescent="0.3">
      <c r="Y25" t="s">
        <v>172</v>
      </c>
      <c r="Z25">
        <v>100</v>
      </c>
    </row>
    <row r="26" spans="1:35" x14ac:dyDescent="0.3">
      <c r="S26" t="s">
        <v>148</v>
      </c>
      <c r="T26" t="s">
        <v>149</v>
      </c>
      <c r="U26" t="s">
        <v>150</v>
      </c>
      <c r="V26" t="s">
        <v>151</v>
      </c>
      <c r="Y26" t="s">
        <v>86</v>
      </c>
      <c r="Z26" t="s">
        <v>162</v>
      </c>
      <c r="AA26" t="s">
        <v>163</v>
      </c>
      <c r="AC26" s="137"/>
      <c r="AD26" s="138" t="s">
        <v>173</v>
      </c>
      <c r="AE26" s="138"/>
      <c r="AF26" s="138"/>
      <c r="AG26" s="138"/>
      <c r="AH26" s="138"/>
      <c r="AI26" s="138"/>
    </row>
    <row r="27" spans="1:35" x14ac:dyDescent="0.3">
      <c r="S27" t="s">
        <v>152</v>
      </c>
      <c r="T27">
        <v>40000</v>
      </c>
      <c r="U27">
        <v>10000</v>
      </c>
      <c r="V27">
        <f>SUM(T27,U27)</f>
        <v>50000</v>
      </c>
      <c r="Y27" t="s">
        <v>164</v>
      </c>
      <c r="Z27">
        <v>85</v>
      </c>
      <c r="AA27" s="109">
        <f>Table6[[#This Row],[Column2]]/$Z$25</f>
        <v>0.85</v>
      </c>
      <c r="AC27" s="137"/>
      <c r="AD27" s="139" t="s">
        <v>174</v>
      </c>
      <c r="AE27" s="139"/>
      <c r="AF27" s="139"/>
      <c r="AG27" s="139"/>
      <c r="AH27" s="139"/>
      <c r="AI27" s="139"/>
    </row>
    <row r="28" spans="1:35" x14ac:dyDescent="0.3">
      <c r="S28" t="s">
        <v>153</v>
      </c>
      <c r="T28">
        <v>50000</v>
      </c>
      <c r="U28">
        <v>12000</v>
      </c>
      <c r="V28">
        <f t="shared" ref="V28:V34" si="1">SUM(T28,U28)</f>
        <v>62000</v>
      </c>
      <c r="Y28" t="s">
        <v>170</v>
      </c>
      <c r="Z28">
        <v>76</v>
      </c>
      <c r="AA28" s="109">
        <f>Table6[[#This Row],[Column2]]/$Z$25</f>
        <v>0.76</v>
      </c>
      <c r="AC28" s="136" t="s">
        <v>175</v>
      </c>
      <c r="AD28" s="110"/>
      <c r="AE28" s="20">
        <v>1</v>
      </c>
      <c r="AF28" s="20">
        <v>2</v>
      </c>
      <c r="AG28" s="20">
        <v>3</v>
      </c>
      <c r="AH28" s="20">
        <v>4</v>
      </c>
      <c r="AI28" s="20">
        <v>5</v>
      </c>
    </row>
    <row r="29" spans="1:35" x14ac:dyDescent="0.3">
      <c r="S29" t="s">
        <v>154</v>
      </c>
      <c r="T29">
        <v>60000</v>
      </c>
      <c r="U29">
        <v>13000</v>
      </c>
      <c r="V29">
        <f t="shared" si="1"/>
        <v>73000</v>
      </c>
      <c r="Y29" t="s">
        <v>165</v>
      </c>
      <c r="Z29">
        <v>88</v>
      </c>
      <c r="AA29" s="109">
        <f>Table6[[#This Row],[Column2]]/$Z$25</f>
        <v>0.88</v>
      </c>
      <c r="AC29" s="136"/>
      <c r="AD29" s="19">
        <v>10</v>
      </c>
      <c r="AE29" s="20">
        <f t="shared" ref="AE29:AI33" si="2">AE$28*$AD29</f>
        <v>10</v>
      </c>
      <c r="AF29" s="20">
        <f t="shared" si="2"/>
        <v>20</v>
      </c>
      <c r="AG29" s="20">
        <f t="shared" si="2"/>
        <v>30</v>
      </c>
      <c r="AH29" s="20">
        <f t="shared" si="2"/>
        <v>40</v>
      </c>
      <c r="AI29" s="20">
        <f t="shared" si="2"/>
        <v>50</v>
      </c>
    </row>
    <row r="30" spans="1:35" x14ac:dyDescent="0.3">
      <c r="S30" t="s">
        <v>155</v>
      </c>
      <c r="T30">
        <v>70000</v>
      </c>
      <c r="U30">
        <v>15000</v>
      </c>
      <c r="V30">
        <f t="shared" si="1"/>
        <v>85000</v>
      </c>
      <c r="Y30" t="s">
        <v>166</v>
      </c>
      <c r="Z30">
        <v>96</v>
      </c>
      <c r="AA30" s="109">
        <f>Table6[[#This Row],[Column2]]/$Z$25</f>
        <v>0.96</v>
      </c>
      <c r="AC30" s="136"/>
      <c r="AD30" s="19">
        <v>20</v>
      </c>
      <c r="AE30" s="20">
        <f t="shared" si="2"/>
        <v>20</v>
      </c>
      <c r="AF30" s="20">
        <f t="shared" si="2"/>
        <v>40</v>
      </c>
      <c r="AG30" s="20">
        <f t="shared" si="2"/>
        <v>60</v>
      </c>
      <c r="AH30" s="20">
        <f t="shared" si="2"/>
        <v>80</v>
      </c>
      <c r="AI30" s="20">
        <f t="shared" si="2"/>
        <v>100</v>
      </c>
    </row>
    <row r="31" spans="1:35" x14ac:dyDescent="0.3">
      <c r="S31" t="s">
        <v>156</v>
      </c>
      <c r="T31">
        <v>80000</v>
      </c>
      <c r="U31">
        <v>20000</v>
      </c>
      <c r="V31">
        <f t="shared" si="1"/>
        <v>100000</v>
      </c>
      <c r="Y31" t="s">
        <v>167</v>
      </c>
      <c r="Z31">
        <v>94</v>
      </c>
      <c r="AA31" s="109">
        <f>Table6[[#This Row],[Column2]]/$Z$25</f>
        <v>0.94</v>
      </c>
      <c r="AC31" s="136"/>
      <c r="AD31" s="19">
        <v>30</v>
      </c>
      <c r="AE31" s="20">
        <f t="shared" si="2"/>
        <v>30</v>
      </c>
      <c r="AF31" s="20">
        <f t="shared" si="2"/>
        <v>60</v>
      </c>
      <c r="AG31" s="20">
        <f t="shared" si="2"/>
        <v>90</v>
      </c>
      <c r="AH31" s="20">
        <f t="shared" si="2"/>
        <v>120</v>
      </c>
      <c r="AI31" s="20">
        <f t="shared" si="2"/>
        <v>150</v>
      </c>
    </row>
    <row r="32" spans="1:35" x14ac:dyDescent="0.3">
      <c r="S32" t="s">
        <v>157</v>
      </c>
      <c r="T32">
        <v>90000</v>
      </c>
      <c r="U32">
        <v>28000</v>
      </c>
      <c r="V32">
        <f t="shared" si="1"/>
        <v>118000</v>
      </c>
      <c r="Y32" t="s">
        <v>168</v>
      </c>
      <c r="Z32">
        <v>82</v>
      </c>
      <c r="AA32" s="109">
        <f>Table6[[#This Row],[Column2]]/$Z$25</f>
        <v>0.82</v>
      </c>
      <c r="AC32" s="136"/>
      <c r="AD32" s="19">
        <v>40</v>
      </c>
      <c r="AE32" s="20">
        <f t="shared" si="2"/>
        <v>40</v>
      </c>
      <c r="AF32" s="20">
        <f t="shared" si="2"/>
        <v>80</v>
      </c>
      <c r="AG32" s="20">
        <f t="shared" si="2"/>
        <v>120</v>
      </c>
      <c r="AH32" s="20">
        <f t="shared" si="2"/>
        <v>160</v>
      </c>
      <c r="AI32" s="20">
        <f t="shared" si="2"/>
        <v>200</v>
      </c>
    </row>
    <row r="33" spans="19:35" x14ac:dyDescent="0.3">
      <c r="S33" t="s">
        <v>158</v>
      </c>
      <c r="T33">
        <v>100000</v>
      </c>
      <c r="U33">
        <v>30000</v>
      </c>
      <c r="V33">
        <f t="shared" si="1"/>
        <v>130000</v>
      </c>
      <c r="Y33" t="s">
        <v>169</v>
      </c>
      <c r="Z33">
        <v>73</v>
      </c>
      <c r="AA33" s="109">
        <f>Table6[[#This Row],[Column2]]/$Z$25</f>
        <v>0.73</v>
      </c>
      <c r="AC33" s="136"/>
      <c r="AD33" s="19">
        <v>50</v>
      </c>
      <c r="AE33" s="20">
        <f t="shared" si="2"/>
        <v>50</v>
      </c>
      <c r="AF33" s="20">
        <f t="shared" si="2"/>
        <v>100</v>
      </c>
      <c r="AG33" s="20">
        <f t="shared" si="2"/>
        <v>150</v>
      </c>
      <c r="AH33" s="20">
        <f t="shared" si="2"/>
        <v>200</v>
      </c>
      <c r="AI33" s="20">
        <f t="shared" si="2"/>
        <v>250</v>
      </c>
    </row>
    <row r="34" spans="19:35" x14ac:dyDescent="0.3">
      <c r="S34" t="s">
        <v>159</v>
      </c>
      <c r="T34">
        <v>30000</v>
      </c>
      <c r="U34">
        <v>9000</v>
      </c>
      <c r="V34">
        <f t="shared" si="1"/>
        <v>39000</v>
      </c>
      <c r="Y34" t="s">
        <v>33</v>
      </c>
      <c r="Z34">
        <v>96</v>
      </c>
      <c r="AA34" s="109">
        <f>Table6[[#This Row],[Column2]]/$Z$25</f>
        <v>0.96</v>
      </c>
    </row>
  </sheetData>
  <mergeCells count="8">
    <mergeCell ref="AC28:AC33"/>
    <mergeCell ref="AC26:AC27"/>
    <mergeCell ref="AD26:AI26"/>
    <mergeCell ref="AD27:AI27"/>
    <mergeCell ref="A1:B1"/>
    <mergeCell ref="S24:T24"/>
    <mergeCell ref="Y24:Z24"/>
    <mergeCell ref="AD24:AE24"/>
  </mergeCells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W20"/>
  <sheetViews>
    <sheetView topLeftCell="AE1" workbookViewId="0">
      <selection activeCell="J28" sqref="J28"/>
    </sheetView>
  </sheetViews>
  <sheetFormatPr defaultRowHeight="14.4" x14ac:dyDescent="0.3"/>
  <cols>
    <col min="1" max="1" width="7.44140625" customWidth="1"/>
    <col min="2" max="2" width="14.109375" customWidth="1"/>
    <col min="3" max="3" width="17.33203125" customWidth="1"/>
    <col min="9" max="9" width="12.44140625" customWidth="1"/>
    <col min="10" max="10" width="17.88671875" customWidth="1"/>
    <col min="14" max="14" width="13.88671875" customWidth="1"/>
    <col min="15" max="15" width="10.88671875" customWidth="1"/>
    <col min="16" max="17" width="11.44140625" customWidth="1"/>
    <col min="21" max="21" width="14" customWidth="1"/>
    <col min="22" max="22" width="15.33203125" customWidth="1"/>
    <col min="25" max="25" width="15.5546875" customWidth="1"/>
    <col min="26" max="26" width="19.44140625" customWidth="1"/>
    <col min="29" max="29" width="11.109375" customWidth="1"/>
    <col min="32" max="32" width="13" customWidth="1"/>
    <col min="36" max="36" width="18" customWidth="1"/>
    <col min="39" max="39" width="9.33203125" customWidth="1"/>
    <col min="40" max="40" width="10.44140625" customWidth="1"/>
    <col min="42" max="42" width="15.88671875" customWidth="1"/>
    <col min="44" max="44" width="15.6640625" customWidth="1"/>
    <col min="46" max="46" width="9.77734375" customWidth="1"/>
    <col min="47" max="47" width="14.77734375" customWidth="1"/>
  </cols>
  <sheetData>
    <row r="2" spans="2:49" ht="15" thickBot="1" x14ac:dyDescent="0.35"/>
    <row r="3" spans="2:49" ht="15" customHeight="1" thickBot="1" x14ac:dyDescent="0.35">
      <c r="B3" s="31" t="s">
        <v>67</v>
      </c>
      <c r="C3" s="32" t="s">
        <v>68</v>
      </c>
      <c r="D3" s="33" t="s">
        <v>69</v>
      </c>
      <c r="E3" s="34" t="s">
        <v>70</v>
      </c>
      <c r="I3" s="96" t="s">
        <v>82</v>
      </c>
      <c r="J3" s="99" t="s">
        <v>68</v>
      </c>
      <c r="K3" s="102" t="s">
        <v>69</v>
      </c>
      <c r="L3" s="105" t="s">
        <v>70</v>
      </c>
    </row>
    <row r="4" spans="2:49" ht="16.2" thickBot="1" x14ac:dyDescent="0.4">
      <c r="B4" s="43">
        <v>1001</v>
      </c>
      <c r="C4" s="44" t="s">
        <v>71</v>
      </c>
      <c r="D4" s="45">
        <v>40</v>
      </c>
      <c r="E4" s="46">
        <v>40000</v>
      </c>
      <c r="I4" s="97">
        <v>1004</v>
      </c>
      <c r="J4" s="100" t="str">
        <f>LOOKUP(I4,B3:C14)</f>
        <v>Sound Box</v>
      </c>
      <c r="K4" s="103"/>
      <c r="L4" s="106"/>
    </row>
    <row r="5" spans="2:49" ht="16.2" thickBot="1" x14ac:dyDescent="0.4">
      <c r="B5" s="35">
        <v>1002</v>
      </c>
      <c r="C5" s="29" t="s">
        <v>72</v>
      </c>
      <c r="D5" s="30">
        <v>20</v>
      </c>
      <c r="E5" s="36">
        <v>50000</v>
      </c>
      <c r="I5" s="98">
        <v>1008</v>
      </c>
      <c r="J5" s="101" t="str">
        <f>VLOOKUP(I5,B3:E14,2,0)</f>
        <v>Dish washer</v>
      </c>
      <c r="K5" s="104">
        <f>VLOOKUP(J5,C3:F14,2,0)</f>
        <v>20</v>
      </c>
      <c r="L5" s="107">
        <f>VLOOKUP(K5,D3:G14,2,0)</f>
        <v>50000</v>
      </c>
    </row>
    <row r="6" spans="2:49" ht="15.6" x14ac:dyDescent="0.35">
      <c r="B6" s="35">
        <v>1003</v>
      </c>
      <c r="C6" s="29" t="s">
        <v>73</v>
      </c>
      <c r="D6" s="30">
        <v>20</v>
      </c>
      <c r="E6" s="36">
        <v>50000</v>
      </c>
      <c r="I6" s="1"/>
      <c r="J6" s="1"/>
      <c r="K6" s="1"/>
      <c r="L6" s="1"/>
    </row>
    <row r="7" spans="2:49" ht="16.2" thickBot="1" x14ac:dyDescent="0.4">
      <c r="B7" s="35">
        <v>1004</v>
      </c>
      <c r="C7" s="29" t="s">
        <v>74</v>
      </c>
      <c r="D7" s="30">
        <v>10</v>
      </c>
      <c r="E7" s="36">
        <v>20000</v>
      </c>
      <c r="I7" s="1"/>
      <c r="J7" s="1"/>
      <c r="K7" s="1"/>
      <c r="L7" s="1"/>
    </row>
    <row r="8" spans="2:49" ht="16.2" thickBot="1" x14ac:dyDescent="0.4">
      <c r="B8" s="35">
        <v>1005</v>
      </c>
      <c r="C8" s="29" t="s">
        <v>75</v>
      </c>
      <c r="D8" s="30">
        <v>20</v>
      </c>
      <c r="E8" s="36">
        <v>25000</v>
      </c>
      <c r="I8" s="1"/>
      <c r="J8" s="1"/>
      <c r="K8" s="1"/>
      <c r="L8" s="1"/>
      <c r="N8" s="65" t="s">
        <v>83</v>
      </c>
      <c r="O8" s="70" t="s">
        <v>84</v>
      </c>
      <c r="P8" s="74" t="s">
        <v>82</v>
      </c>
      <c r="Q8" s="69" t="s">
        <v>85</v>
      </c>
      <c r="U8" s="47" t="s">
        <v>83</v>
      </c>
      <c r="V8" s="50" t="s">
        <v>86</v>
      </c>
      <c r="W8" s="53" t="s">
        <v>23</v>
      </c>
      <c r="X8" s="54" t="s">
        <v>87</v>
      </c>
      <c r="Y8" s="57" t="s">
        <v>88</v>
      </c>
      <c r="Z8" s="60" t="s">
        <v>114</v>
      </c>
      <c r="AA8" s="1"/>
      <c r="AB8" s="1"/>
      <c r="AC8" s="82" t="s">
        <v>86</v>
      </c>
      <c r="AD8" s="27" t="s">
        <v>23</v>
      </c>
      <c r="AE8" s="83" t="s">
        <v>87</v>
      </c>
      <c r="AF8" s="84" t="s">
        <v>88</v>
      </c>
      <c r="AJ8" s="92" t="s">
        <v>82</v>
      </c>
      <c r="AK8" s="88">
        <v>1001</v>
      </c>
      <c r="AL8" s="85">
        <v>1002</v>
      </c>
      <c r="AM8" s="85">
        <v>1003</v>
      </c>
      <c r="AN8" s="85">
        <v>1004</v>
      </c>
      <c r="AO8" s="85">
        <v>1005</v>
      </c>
      <c r="AP8" s="85">
        <v>1006</v>
      </c>
      <c r="AQ8" s="85">
        <v>1007</v>
      </c>
      <c r="AR8" s="85">
        <v>1008</v>
      </c>
    </row>
    <row r="9" spans="2:49" ht="15.6" x14ac:dyDescent="0.35">
      <c r="B9" s="35">
        <v>1006</v>
      </c>
      <c r="C9" s="29" t="s">
        <v>76</v>
      </c>
      <c r="D9" s="30">
        <v>15</v>
      </c>
      <c r="E9" s="36">
        <v>25000</v>
      </c>
      <c r="I9" s="1"/>
      <c r="J9" s="1"/>
      <c r="K9" s="1"/>
      <c r="L9" s="1"/>
      <c r="N9" s="66">
        <v>1</v>
      </c>
      <c r="O9" s="71">
        <v>4010</v>
      </c>
      <c r="P9" s="75">
        <v>4</v>
      </c>
      <c r="Q9" s="78">
        <v>5000</v>
      </c>
      <c r="U9" s="48">
        <v>1</v>
      </c>
      <c r="V9" s="51" t="s">
        <v>89</v>
      </c>
      <c r="W9" s="28" t="s">
        <v>99</v>
      </c>
      <c r="X9" s="55">
        <v>19</v>
      </c>
      <c r="Y9" s="58" t="s">
        <v>101</v>
      </c>
      <c r="Z9" s="61">
        <v>7</v>
      </c>
      <c r="AA9" s="1"/>
      <c r="AB9" s="1"/>
      <c r="AC9" s="81" t="str">
        <f>VLOOKUP(N9,U8:Z20,2,0)</f>
        <v>Niki</v>
      </c>
      <c r="AD9" s="42" t="str">
        <f>VLOOKUP(N9,U8:Z20,3,0)</f>
        <v>F</v>
      </c>
      <c r="AE9" s="41">
        <f>VLOOKUP(U9,U8:Z20,4,0)</f>
        <v>19</v>
      </c>
      <c r="AF9" s="42" t="str">
        <f>VLOOKUP(U9,U8:Z20,5,0)</f>
        <v>Seoul</v>
      </c>
      <c r="AJ9" s="93" t="s">
        <v>68</v>
      </c>
      <c r="AK9" s="89" t="s">
        <v>71</v>
      </c>
      <c r="AL9" s="26" t="s">
        <v>116</v>
      </c>
      <c r="AM9" s="26" t="s">
        <v>117</v>
      </c>
      <c r="AN9" s="26" t="s">
        <v>75</v>
      </c>
      <c r="AO9" s="26" t="s">
        <v>81</v>
      </c>
      <c r="AP9" s="26" t="s">
        <v>118</v>
      </c>
      <c r="AQ9" s="26" t="s">
        <v>77</v>
      </c>
      <c r="AR9" s="26" t="s">
        <v>79</v>
      </c>
    </row>
    <row r="10" spans="2:49" ht="15.6" x14ac:dyDescent="0.35">
      <c r="B10" s="35">
        <v>1007</v>
      </c>
      <c r="C10" s="29" t="s">
        <v>77</v>
      </c>
      <c r="D10" s="30">
        <v>60</v>
      </c>
      <c r="E10" s="36">
        <v>2000</v>
      </c>
      <c r="I10" s="1"/>
      <c r="J10" s="1"/>
      <c r="K10" s="1"/>
      <c r="L10" s="1"/>
      <c r="N10" s="67">
        <v>2</v>
      </c>
      <c r="O10" s="72">
        <v>2310</v>
      </c>
      <c r="P10" s="76">
        <v>2</v>
      </c>
      <c r="Q10" s="79">
        <v>2000</v>
      </c>
      <c r="U10" s="49">
        <v>2</v>
      </c>
      <c r="V10" s="52" t="s">
        <v>91</v>
      </c>
      <c r="W10" s="30" t="s">
        <v>99</v>
      </c>
      <c r="X10" s="56">
        <v>17</v>
      </c>
      <c r="Y10" s="59" t="s">
        <v>102</v>
      </c>
      <c r="Z10" s="62">
        <v>7</v>
      </c>
      <c r="AA10" s="1"/>
      <c r="AB10" s="1"/>
      <c r="AC10" s="25" t="str">
        <f t="shared" ref="AC10:AC20" si="0">VLOOKUP(N10,U9:Z21,2,0)</f>
        <v>Shreya</v>
      </c>
      <c r="AD10" s="23" t="str">
        <f t="shared" ref="AD10:AD20" si="1">VLOOKUP(N10,U9:Z21,3,0)</f>
        <v>F</v>
      </c>
      <c r="AE10" s="19">
        <f t="shared" ref="AE10:AE20" si="2">VLOOKUP(U10,U9:Z21,4,0)</f>
        <v>17</v>
      </c>
      <c r="AF10" s="23" t="str">
        <f t="shared" ref="AF10:AF20" si="3">VLOOKUP(U10,U9:Z21,5,0)</f>
        <v>Gangnam</v>
      </c>
      <c r="AJ10" s="94" t="s">
        <v>69</v>
      </c>
      <c r="AK10" s="90">
        <v>100</v>
      </c>
      <c r="AL10" s="21">
        <v>20</v>
      </c>
      <c r="AM10" s="21">
        <v>20</v>
      </c>
      <c r="AN10" s="21">
        <v>15</v>
      </c>
      <c r="AO10" s="21">
        <v>50</v>
      </c>
      <c r="AP10" s="21">
        <v>20</v>
      </c>
      <c r="AQ10" s="21">
        <v>100</v>
      </c>
      <c r="AR10" s="21">
        <v>20</v>
      </c>
    </row>
    <row r="11" spans="2:49" ht="16.2" thickBot="1" x14ac:dyDescent="0.4">
      <c r="B11" s="35">
        <v>1008</v>
      </c>
      <c r="C11" s="29" t="s">
        <v>78</v>
      </c>
      <c r="D11" s="30">
        <v>20</v>
      </c>
      <c r="E11" s="36">
        <v>15000</v>
      </c>
      <c r="I11" s="1"/>
      <c r="J11" s="1"/>
      <c r="K11" s="1"/>
      <c r="L11" s="1"/>
      <c r="N11" s="67">
        <v>3</v>
      </c>
      <c r="O11" s="72">
        <v>1010</v>
      </c>
      <c r="P11" s="76">
        <v>1</v>
      </c>
      <c r="Q11" s="79">
        <v>6000</v>
      </c>
      <c r="U11" s="49">
        <v>3</v>
      </c>
      <c r="V11" s="52" t="s">
        <v>90</v>
      </c>
      <c r="W11" s="30" t="s">
        <v>99</v>
      </c>
      <c r="X11" s="56">
        <v>20</v>
      </c>
      <c r="Y11" s="59" t="s">
        <v>112</v>
      </c>
      <c r="Z11" s="62">
        <v>12</v>
      </c>
      <c r="AA11" s="1"/>
      <c r="AB11" s="1"/>
      <c r="AC11" s="25" t="str">
        <f t="shared" si="0"/>
        <v>Vaishnavi</v>
      </c>
      <c r="AD11" s="23" t="str">
        <f t="shared" si="1"/>
        <v>F</v>
      </c>
      <c r="AE11" s="19">
        <f t="shared" si="2"/>
        <v>20</v>
      </c>
      <c r="AF11" s="23" t="str">
        <f t="shared" si="3"/>
        <v>Daegu</v>
      </c>
      <c r="AJ11" s="95" t="s">
        <v>70</v>
      </c>
      <c r="AK11" s="91">
        <v>50000</v>
      </c>
      <c r="AL11" s="64">
        <v>70000</v>
      </c>
      <c r="AM11" s="64">
        <v>15000</v>
      </c>
      <c r="AN11" s="64">
        <v>20000</v>
      </c>
      <c r="AO11" s="64">
        <v>15000</v>
      </c>
      <c r="AP11" s="64">
        <v>15000</v>
      </c>
      <c r="AQ11" s="64">
        <v>2000</v>
      </c>
      <c r="AR11" s="64">
        <v>5000</v>
      </c>
    </row>
    <row r="12" spans="2:49" ht="15.6" x14ac:dyDescent="0.35">
      <c r="B12" s="35">
        <v>1009</v>
      </c>
      <c r="C12" s="29" t="s">
        <v>79</v>
      </c>
      <c r="D12" s="30">
        <v>10</v>
      </c>
      <c r="E12" s="36">
        <v>5000</v>
      </c>
      <c r="I12" s="1"/>
      <c r="J12" s="1"/>
      <c r="K12" s="1"/>
      <c r="L12" s="1"/>
      <c r="N12" s="67">
        <v>4</v>
      </c>
      <c r="O12" s="72">
        <v>3140</v>
      </c>
      <c r="P12" s="76">
        <v>1</v>
      </c>
      <c r="Q12" s="79">
        <v>4000</v>
      </c>
      <c r="U12" s="49">
        <v>4</v>
      </c>
      <c r="V12" s="52" t="s">
        <v>103</v>
      </c>
      <c r="W12" s="30" t="s">
        <v>99</v>
      </c>
      <c r="X12" s="56">
        <v>19</v>
      </c>
      <c r="Y12" s="59" t="s">
        <v>104</v>
      </c>
      <c r="Z12" s="62">
        <v>7</v>
      </c>
      <c r="AA12" s="1"/>
      <c r="AB12" s="1"/>
      <c r="AC12" s="25" t="str">
        <f t="shared" si="0"/>
        <v>Celestine</v>
      </c>
      <c r="AD12" s="23" t="str">
        <f t="shared" si="1"/>
        <v>F</v>
      </c>
      <c r="AE12" s="19">
        <f t="shared" si="2"/>
        <v>19</v>
      </c>
      <c r="AF12" s="23" t="str">
        <f t="shared" si="3"/>
        <v>Busan</v>
      </c>
      <c r="AT12" s="140" t="s">
        <v>120</v>
      </c>
      <c r="AU12" s="140"/>
      <c r="AV12" s="140"/>
      <c r="AW12" s="140"/>
    </row>
    <row r="13" spans="2:49" ht="15.6" x14ac:dyDescent="0.35">
      <c r="B13" s="35">
        <v>1010</v>
      </c>
      <c r="C13" s="29" t="s">
        <v>80</v>
      </c>
      <c r="D13" s="30">
        <v>20</v>
      </c>
      <c r="E13" s="36">
        <v>5000</v>
      </c>
      <c r="I13" s="1"/>
      <c r="J13" s="1"/>
      <c r="K13" s="1"/>
      <c r="L13" s="1"/>
      <c r="N13" s="67">
        <v>5</v>
      </c>
      <c r="O13" s="72">
        <v>4350</v>
      </c>
      <c r="P13" s="76">
        <v>1</v>
      </c>
      <c r="Q13" s="79">
        <v>7000</v>
      </c>
      <c r="U13" s="49">
        <v>5</v>
      </c>
      <c r="V13" s="52" t="s">
        <v>93</v>
      </c>
      <c r="W13" s="30" t="s">
        <v>99</v>
      </c>
      <c r="X13" s="56">
        <v>21</v>
      </c>
      <c r="Y13" s="59" t="s">
        <v>107</v>
      </c>
      <c r="Z13" s="62">
        <v>8</v>
      </c>
      <c r="AA13" s="1"/>
      <c r="AB13" s="1"/>
      <c r="AC13" s="25" t="str">
        <f t="shared" si="0"/>
        <v>Rahila</v>
      </c>
      <c r="AD13" s="23" t="str">
        <f t="shared" si="1"/>
        <v>F</v>
      </c>
      <c r="AE13" s="19">
        <f t="shared" si="2"/>
        <v>21</v>
      </c>
      <c r="AF13" s="23" t="str">
        <f t="shared" si="3"/>
        <v>Melbourne</v>
      </c>
      <c r="AT13" s="17" t="s">
        <v>82</v>
      </c>
      <c r="AU13" s="16" t="s">
        <v>68</v>
      </c>
      <c r="AV13" s="15" t="s">
        <v>119</v>
      </c>
      <c r="AW13" s="86" t="s">
        <v>70</v>
      </c>
    </row>
    <row r="14" spans="2:49" ht="16.2" thickBot="1" x14ac:dyDescent="0.4">
      <c r="B14" s="37">
        <v>1011</v>
      </c>
      <c r="C14" s="38" t="s">
        <v>81</v>
      </c>
      <c r="D14" s="39">
        <v>15</v>
      </c>
      <c r="E14" s="40">
        <v>4000</v>
      </c>
      <c r="I14" s="1"/>
      <c r="J14" s="1"/>
      <c r="K14" s="1"/>
      <c r="L14" s="1"/>
      <c r="N14" s="67">
        <v>6</v>
      </c>
      <c r="O14" s="72">
        <v>5120</v>
      </c>
      <c r="P14" s="76">
        <v>3</v>
      </c>
      <c r="Q14" s="79">
        <v>9000</v>
      </c>
      <c r="U14" s="49">
        <v>6</v>
      </c>
      <c r="V14" s="52" t="s">
        <v>115</v>
      </c>
      <c r="W14" s="30" t="s">
        <v>100</v>
      </c>
      <c r="X14" s="56">
        <v>12</v>
      </c>
      <c r="Y14" s="59" t="s">
        <v>106</v>
      </c>
      <c r="Z14" s="62">
        <v>9</v>
      </c>
      <c r="AA14" s="1"/>
      <c r="AB14" s="1"/>
      <c r="AC14" s="25" t="str">
        <f t="shared" si="0"/>
        <v>Liyan</v>
      </c>
      <c r="AD14" s="23" t="str">
        <f t="shared" si="1"/>
        <v>M</v>
      </c>
      <c r="AE14" s="19">
        <f t="shared" si="2"/>
        <v>12</v>
      </c>
      <c r="AF14" s="23" t="str">
        <f t="shared" si="3"/>
        <v>Paris</v>
      </c>
      <c r="AT14" s="85">
        <v>1002</v>
      </c>
      <c r="AU14" s="24" t="str">
        <f>HLOOKUP(AT14,AJ8:AR11,2,0)</f>
        <v>Tv</v>
      </c>
      <c r="AV14" s="22">
        <f>HLOOKUP(AT14,AJ8:AR11,3,0)</f>
        <v>20</v>
      </c>
      <c r="AW14" s="87">
        <f>HLOOKUP(AT14,AJ8:AR11,4,0)</f>
        <v>70000</v>
      </c>
    </row>
    <row r="15" spans="2:49" ht="15.6" x14ac:dyDescent="0.35">
      <c r="N15" s="67">
        <v>7</v>
      </c>
      <c r="O15" s="72">
        <v>6789</v>
      </c>
      <c r="P15" s="76">
        <v>1</v>
      </c>
      <c r="Q15" s="79">
        <v>3000</v>
      </c>
      <c r="U15" s="49">
        <v>7</v>
      </c>
      <c r="V15" s="52" t="s">
        <v>95</v>
      </c>
      <c r="W15" s="30" t="s">
        <v>99</v>
      </c>
      <c r="X15" s="56">
        <v>14</v>
      </c>
      <c r="Y15" s="59" t="s">
        <v>109</v>
      </c>
      <c r="Z15" s="62">
        <v>6</v>
      </c>
      <c r="AA15" s="1"/>
      <c r="AB15" s="1"/>
      <c r="AC15" s="25" t="str">
        <f t="shared" si="0"/>
        <v>Preeti</v>
      </c>
      <c r="AD15" s="23" t="str">
        <f t="shared" si="1"/>
        <v>F</v>
      </c>
      <c r="AE15" s="19">
        <f t="shared" si="2"/>
        <v>14</v>
      </c>
      <c r="AF15" s="23" t="str">
        <f t="shared" si="3"/>
        <v>Canada</v>
      </c>
      <c r="AT15" s="1"/>
      <c r="AU15" s="1"/>
      <c r="AV15" s="1"/>
      <c r="AW15" s="1"/>
    </row>
    <row r="16" spans="2:49" ht="15.6" x14ac:dyDescent="0.35">
      <c r="N16" s="67">
        <v>8</v>
      </c>
      <c r="O16" s="72">
        <v>1234</v>
      </c>
      <c r="P16" s="76">
        <v>2</v>
      </c>
      <c r="Q16" s="79">
        <v>2500</v>
      </c>
      <c r="U16" s="49">
        <v>8</v>
      </c>
      <c r="V16" s="52" t="s">
        <v>97</v>
      </c>
      <c r="W16" s="30" t="s">
        <v>100</v>
      </c>
      <c r="X16" s="56">
        <v>12</v>
      </c>
      <c r="Y16" s="59" t="s">
        <v>111</v>
      </c>
      <c r="Z16" s="62">
        <v>8</v>
      </c>
      <c r="AA16" s="1"/>
      <c r="AB16" s="1"/>
      <c r="AC16" s="25" t="str">
        <f t="shared" si="0"/>
        <v>Kiran</v>
      </c>
      <c r="AD16" s="23" t="str">
        <f t="shared" si="1"/>
        <v>M</v>
      </c>
      <c r="AE16" s="19">
        <f t="shared" si="2"/>
        <v>12</v>
      </c>
      <c r="AF16" s="23" t="str">
        <f t="shared" si="3"/>
        <v>Macau</v>
      </c>
      <c r="AT16" s="1"/>
      <c r="AU16" s="1"/>
      <c r="AV16" s="1"/>
      <c r="AW16" s="1"/>
    </row>
    <row r="17" spans="14:49" ht="15.6" x14ac:dyDescent="0.35">
      <c r="N17" s="67">
        <v>9</v>
      </c>
      <c r="O17" s="72">
        <v>4321</v>
      </c>
      <c r="P17" s="76">
        <v>1</v>
      </c>
      <c r="Q17" s="79">
        <v>100</v>
      </c>
      <c r="U17" s="49">
        <v>9</v>
      </c>
      <c r="V17" s="52" t="s">
        <v>94</v>
      </c>
      <c r="W17" s="30" t="s">
        <v>99</v>
      </c>
      <c r="X17" s="56">
        <v>22</v>
      </c>
      <c r="Y17" s="59" t="s">
        <v>110</v>
      </c>
      <c r="Z17" s="62">
        <v>6</v>
      </c>
      <c r="AA17" s="1"/>
      <c r="AB17" s="1"/>
      <c r="AC17" s="25" t="str">
        <f t="shared" si="0"/>
        <v>Ayisha</v>
      </c>
      <c r="AD17" s="23" t="str">
        <f t="shared" si="1"/>
        <v>F</v>
      </c>
      <c r="AE17" s="19">
        <f t="shared" si="2"/>
        <v>22</v>
      </c>
      <c r="AF17" s="23" t="str">
        <f t="shared" si="3"/>
        <v>Tokyo</v>
      </c>
      <c r="AT17" s="1"/>
      <c r="AU17" s="1"/>
      <c r="AV17" s="1"/>
      <c r="AW17" s="1"/>
    </row>
    <row r="18" spans="14:49" ht="15.6" x14ac:dyDescent="0.35">
      <c r="N18" s="67">
        <v>10</v>
      </c>
      <c r="O18" s="72">
        <v>6123</v>
      </c>
      <c r="P18" s="76">
        <v>1</v>
      </c>
      <c r="Q18" s="79">
        <v>3500</v>
      </c>
      <c r="U18" s="49">
        <v>10</v>
      </c>
      <c r="V18" s="52" t="s">
        <v>98</v>
      </c>
      <c r="W18" s="30" t="s">
        <v>100</v>
      </c>
      <c r="X18" s="56">
        <v>15</v>
      </c>
      <c r="Y18" s="59" t="s">
        <v>108</v>
      </c>
      <c r="Z18" s="62">
        <v>9</v>
      </c>
      <c r="AA18" s="1"/>
      <c r="AB18" s="1"/>
      <c r="AC18" s="25" t="str">
        <f t="shared" si="0"/>
        <v>Harsha</v>
      </c>
      <c r="AD18" s="23" t="str">
        <f t="shared" si="1"/>
        <v>M</v>
      </c>
      <c r="AE18" s="19">
        <f t="shared" si="2"/>
        <v>15</v>
      </c>
      <c r="AF18" s="23" t="str">
        <f t="shared" si="3"/>
        <v>Chicago</v>
      </c>
      <c r="AT18" s="1"/>
      <c r="AU18" s="1"/>
      <c r="AV18" s="1"/>
      <c r="AW18" s="1"/>
    </row>
    <row r="19" spans="14:49" ht="15.6" x14ac:dyDescent="0.35">
      <c r="N19" s="67">
        <v>11</v>
      </c>
      <c r="O19" s="72">
        <v>5213</v>
      </c>
      <c r="P19" s="76">
        <v>4</v>
      </c>
      <c r="Q19" s="79">
        <v>4250</v>
      </c>
      <c r="U19" s="49">
        <v>11</v>
      </c>
      <c r="V19" s="52" t="s">
        <v>92</v>
      </c>
      <c r="W19" s="30" t="s">
        <v>99</v>
      </c>
      <c r="X19" s="56">
        <v>23</v>
      </c>
      <c r="Y19" s="59" t="s">
        <v>113</v>
      </c>
      <c r="Z19" s="62">
        <v>7</v>
      </c>
      <c r="AA19" s="1"/>
      <c r="AB19" s="1"/>
      <c r="AC19" s="25" t="str">
        <f>VLOOKUP(N19,U18:Z30,2,0)</f>
        <v>Varsha</v>
      </c>
      <c r="AD19" s="23" t="str">
        <f t="shared" si="1"/>
        <v>F</v>
      </c>
      <c r="AE19" s="19">
        <f t="shared" si="2"/>
        <v>23</v>
      </c>
      <c r="AF19" s="23" t="str">
        <f t="shared" si="3"/>
        <v>Incheon</v>
      </c>
    </row>
    <row r="20" spans="14:49" ht="16.2" thickBot="1" x14ac:dyDescent="0.4">
      <c r="N20" s="68">
        <v>12</v>
      </c>
      <c r="O20" s="73">
        <v>6987</v>
      </c>
      <c r="P20" s="77">
        <v>1</v>
      </c>
      <c r="Q20" s="80">
        <v>6000</v>
      </c>
      <c r="U20" s="49">
        <v>12</v>
      </c>
      <c r="V20" s="52" t="s">
        <v>96</v>
      </c>
      <c r="W20" s="30" t="s">
        <v>100</v>
      </c>
      <c r="X20" s="56">
        <v>13</v>
      </c>
      <c r="Y20" s="59" t="s">
        <v>105</v>
      </c>
      <c r="Z20" s="62">
        <v>8</v>
      </c>
      <c r="AA20" s="1"/>
      <c r="AB20" s="1"/>
      <c r="AC20" s="25" t="str">
        <f t="shared" si="0"/>
        <v>Vinay</v>
      </c>
      <c r="AD20" s="23" t="str">
        <f t="shared" si="1"/>
        <v>M</v>
      </c>
      <c r="AE20" s="19">
        <f t="shared" si="2"/>
        <v>13</v>
      </c>
      <c r="AF20" s="23" t="str">
        <f t="shared" si="3"/>
        <v>NYC</v>
      </c>
    </row>
  </sheetData>
  <mergeCells count="1">
    <mergeCell ref="AT12:AW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3"/>
  <sheetViews>
    <sheetView topLeftCell="D10" workbookViewId="0">
      <selection activeCell="T16" sqref="T16"/>
    </sheetView>
  </sheetViews>
  <sheetFormatPr defaultRowHeight="14.4" x14ac:dyDescent="0.3"/>
  <cols>
    <col min="1" max="1" width="14.6640625" customWidth="1"/>
    <col min="2" max="2" width="18.5546875" customWidth="1"/>
    <col min="8" max="8" width="6.44140625" customWidth="1"/>
    <col min="9" max="9" width="10.77734375" customWidth="1"/>
    <col min="10" max="10" width="11.44140625" customWidth="1"/>
    <col min="11" max="11" width="16.77734375" customWidth="1"/>
    <col min="12" max="12" width="17.33203125" customWidth="1"/>
    <col min="13" max="13" width="12.109375" customWidth="1"/>
    <col min="14" max="14" width="14.5546875" customWidth="1"/>
    <col min="16" max="16" width="14.44140625" customWidth="1"/>
    <col min="17" max="17" width="14.5546875" customWidth="1"/>
    <col min="18" max="18" width="15.77734375" customWidth="1"/>
    <col min="20" max="20" width="17.33203125" customWidth="1"/>
  </cols>
  <sheetData>
    <row r="1" spans="1:20" ht="15" thickBot="1" x14ac:dyDescent="0.35">
      <c r="A1" s="131" t="s">
        <v>0</v>
      </c>
      <c r="B1" s="143"/>
      <c r="C1" s="143"/>
      <c r="D1" s="143"/>
      <c r="E1" s="143"/>
      <c r="F1" s="144"/>
    </row>
    <row r="2" spans="1:20" x14ac:dyDescent="0.3">
      <c r="A2" s="125" t="s">
        <v>4</v>
      </c>
      <c r="B2" s="126" t="s">
        <v>5</v>
      </c>
      <c r="C2" s="126" t="s">
        <v>1</v>
      </c>
      <c r="D2" s="126" t="s">
        <v>2</v>
      </c>
      <c r="E2" s="126" t="s">
        <v>3</v>
      </c>
      <c r="F2" s="127" t="s">
        <v>17</v>
      </c>
    </row>
    <row r="3" spans="1:20" x14ac:dyDescent="0.3">
      <c r="A3" s="6" t="s">
        <v>6</v>
      </c>
      <c r="B3" s="3" t="s">
        <v>7</v>
      </c>
      <c r="C3" s="3">
        <v>95</v>
      </c>
      <c r="D3" s="3">
        <v>98</v>
      </c>
      <c r="E3" s="3">
        <f>SUM(C3:D3)</f>
        <v>193</v>
      </c>
      <c r="F3" s="7">
        <f>AVERAGE(C3:D3)</f>
        <v>96.5</v>
      </c>
    </row>
    <row r="4" spans="1:20" x14ac:dyDescent="0.3">
      <c r="A4" s="6" t="s">
        <v>8</v>
      </c>
      <c r="B4" s="3"/>
      <c r="C4" s="3">
        <v>85</v>
      </c>
      <c r="D4" s="3">
        <v>85</v>
      </c>
      <c r="E4" s="3">
        <f>SUM(C4:D4)</f>
        <v>170</v>
      </c>
      <c r="F4" s="7">
        <f>AVERAGE(C4:D4)</f>
        <v>85</v>
      </c>
    </row>
    <row r="5" spans="1:20" x14ac:dyDescent="0.3">
      <c r="A5" s="6" t="s">
        <v>9</v>
      </c>
      <c r="B5" s="3" t="s">
        <v>10</v>
      </c>
      <c r="C5" s="3">
        <v>85</v>
      </c>
      <c r="D5" s="3">
        <v>94</v>
      </c>
      <c r="E5" s="3">
        <f>SUM(C5:D5)</f>
        <v>179</v>
      </c>
      <c r="F5" s="7">
        <f t="shared" ref="F5:F7" si="0">AVERAGE(C5:D5)</f>
        <v>89.5</v>
      </c>
    </row>
    <row r="6" spans="1:20" x14ac:dyDescent="0.3">
      <c r="A6" s="6" t="s">
        <v>11</v>
      </c>
      <c r="B6" s="3" t="s">
        <v>12</v>
      </c>
      <c r="C6" s="3">
        <v>88</v>
      </c>
      <c r="D6" s="3">
        <v>91</v>
      </c>
      <c r="E6" s="3">
        <f>SUM(C6:D6)</f>
        <v>179</v>
      </c>
      <c r="F6" s="7">
        <f t="shared" si="0"/>
        <v>89.5</v>
      </c>
    </row>
    <row r="7" spans="1:20" x14ac:dyDescent="0.3">
      <c r="A7" s="6" t="s">
        <v>13</v>
      </c>
      <c r="B7" s="3" t="s">
        <v>14</v>
      </c>
      <c r="C7" s="3">
        <v>89</v>
      </c>
      <c r="D7" s="3">
        <v>94</v>
      </c>
      <c r="E7" s="3">
        <f>SUM(C7:D7)</f>
        <v>183</v>
      </c>
      <c r="F7" s="7">
        <f t="shared" si="0"/>
        <v>91.5</v>
      </c>
    </row>
    <row r="8" spans="1:20" ht="15" thickBot="1" x14ac:dyDescent="0.35">
      <c r="A8" s="141" t="s">
        <v>16</v>
      </c>
      <c r="B8" s="142"/>
      <c r="C8" s="123">
        <f>MAX(C3:C7)</f>
        <v>95</v>
      </c>
      <c r="D8" s="123">
        <f>MAX(D3:D7)</f>
        <v>98</v>
      </c>
      <c r="E8" s="123">
        <f>MAX(E3:E7)</f>
        <v>193</v>
      </c>
      <c r="F8" s="4"/>
    </row>
    <row r="9" spans="1:20" ht="15" thickBot="1" x14ac:dyDescent="0.35">
      <c r="A9" s="131" t="s">
        <v>15</v>
      </c>
      <c r="B9" s="143"/>
      <c r="C9" s="124">
        <f>MIN(C3:C8)</f>
        <v>85</v>
      </c>
      <c r="D9" s="124">
        <f>MIN(D3:D8)</f>
        <v>85</v>
      </c>
      <c r="E9" s="124">
        <f>MIN(E3:E8)</f>
        <v>170</v>
      </c>
      <c r="F9" s="2"/>
    </row>
    <row r="11" spans="1:20" ht="12.6" customHeight="1" x14ac:dyDescent="0.3"/>
    <row r="15" spans="1:20" x14ac:dyDescent="0.3">
      <c r="H15" s="11" t="s">
        <v>25</v>
      </c>
      <c r="I15" s="18" t="s">
        <v>18</v>
      </c>
      <c r="J15" s="14" t="s">
        <v>19</v>
      </c>
      <c r="K15" s="11" t="s">
        <v>20</v>
      </c>
      <c r="L15" s="11" t="s">
        <v>58</v>
      </c>
      <c r="M15" s="11" t="s">
        <v>21</v>
      </c>
      <c r="N15" s="11" t="s">
        <v>22</v>
      </c>
      <c r="O15" s="11" t="s">
        <v>23</v>
      </c>
      <c r="P15" s="11" t="s">
        <v>24</v>
      </c>
      <c r="Q15" s="11" t="s">
        <v>56</v>
      </c>
      <c r="R15" s="11" t="s">
        <v>57</v>
      </c>
      <c r="S15" s="11" t="s">
        <v>59</v>
      </c>
      <c r="T15" s="12" t="s">
        <v>60</v>
      </c>
    </row>
    <row r="16" spans="1:20" x14ac:dyDescent="0.3">
      <c r="H16" s="8">
        <v>1</v>
      </c>
      <c r="I16" s="63" t="s">
        <v>33</v>
      </c>
      <c r="J16" s="20" t="s">
        <v>34</v>
      </c>
      <c r="K16" s="8" t="str">
        <f>CONCATENATE(I16,  J16)</f>
        <v>ArianaGrande</v>
      </c>
      <c r="L16" s="8">
        <f>LEN(K16)</f>
        <v>12</v>
      </c>
      <c r="M16" s="9">
        <v>15000</v>
      </c>
      <c r="N16" s="8">
        <v>8877552244</v>
      </c>
      <c r="O16" s="8" t="s">
        <v>30</v>
      </c>
      <c r="P16" s="8" t="s">
        <v>47</v>
      </c>
      <c r="Q16" s="10">
        <v>44952</v>
      </c>
      <c r="R16" s="10">
        <v>44980</v>
      </c>
      <c r="S16" s="8">
        <f>DAYS360(Q16,R16)</f>
        <v>27</v>
      </c>
      <c r="T16" s="3">
        <f>NETWORKDAYS(Q16,R16,4)</f>
        <v>21</v>
      </c>
    </row>
    <row r="17" spans="8:20" x14ac:dyDescent="0.3">
      <c r="H17" s="8">
        <v>2</v>
      </c>
      <c r="I17" s="63" t="s">
        <v>42</v>
      </c>
      <c r="J17" s="20" t="s">
        <v>66</v>
      </c>
      <c r="K17" s="8" t="str">
        <f t="shared" ref="K17:K25" si="1">CONCATENATE(I17,J17)</f>
        <v>BillieElish</v>
      </c>
      <c r="L17" s="8">
        <f t="shared" ref="L17:L25" si="2">LEN(K17)</f>
        <v>11</v>
      </c>
      <c r="M17" s="9">
        <v>25000</v>
      </c>
      <c r="N17" s="8">
        <v>6677445588</v>
      </c>
      <c r="O17" s="8" t="s">
        <v>30</v>
      </c>
      <c r="P17" s="8" t="s">
        <v>55</v>
      </c>
      <c r="Q17" s="10">
        <v>44983</v>
      </c>
      <c r="R17" s="10">
        <v>45008</v>
      </c>
      <c r="S17" s="8">
        <f t="shared" ref="S17:S25" si="3">DAYS360(Q17,R17)</f>
        <v>27</v>
      </c>
      <c r="T17" s="3">
        <f t="shared" ref="T17:T25" si="4">NETWORKDAYS(Q17,R17,4)</f>
        <v>19</v>
      </c>
    </row>
    <row r="18" spans="8:20" x14ac:dyDescent="0.3">
      <c r="H18" s="8">
        <v>3</v>
      </c>
      <c r="I18" s="63" t="s">
        <v>32</v>
      </c>
      <c r="J18" s="20" t="s">
        <v>41</v>
      </c>
      <c r="K18" s="8" t="str">
        <f t="shared" si="1"/>
        <v>CamilaCabello</v>
      </c>
      <c r="L18" s="8">
        <f t="shared" si="2"/>
        <v>13</v>
      </c>
      <c r="M18" s="9">
        <v>17000</v>
      </c>
      <c r="N18" s="8">
        <v>7722443311</v>
      </c>
      <c r="O18" s="8" t="s">
        <v>30</v>
      </c>
      <c r="P18" s="8" t="s">
        <v>52</v>
      </c>
      <c r="Q18" s="10">
        <v>45011</v>
      </c>
      <c r="R18" s="10">
        <v>45039</v>
      </c>
      <c r="S18" s="8">
        <f t="shared" si="3"/>
        <v>27</v>
      </c>
      <c r="T18" s="3">
        <f t="shared" si="4"/>
        <v>20</v>
      </c>
    </row>
    <row r="19" spans="8:20" x14ac:dyDescent="0.3">
      <c r="H19" s="8">
        <v>4</v>
      </c>
      <c r="I19" s="63" t="s">
        <v>49</v>
      </c>
      <c r="J19" s="20" t="s">
        <v>50</v>
      </c>
      <c r="K19" s="8" t="str">
        <f t="shared" si="1"/>
        <v>CharliePuth</v>
      </c>
      <c r="L19" s="8">
        <f t="shared" si="2"/>
        <v>11</v>
      </c>
      <c r="M19" s="9">
        <v>18000</v>
      </c>
      <c r="N19" s="8">
        <v>5544882233</v>
      </c>
      <c r="O19" s="8" t="s">
        <v>31</v>
      </c>
      <c r="P19" s="8" t="s">
        <v>51</v>
      </c>
      <c r="Q19" s="10">
        <v>45042</v>
      </c>
      <c r="R19" s="10">
        <v>45069</v>
      </c>
      <c r="S19" s="8">
        <f t="shared" si="3"/>
        <v>27</v>
      </c>
      <c r="T19" s="3">
        <f t="shared" si="4"/>
        <v>20</v>
      </c>
    </row>
    <row r="20" spans="8:20" x14ac:dyDescent="0.3">
      <c r="H20" s="8">
        <v>5</v>
      </c>
      <c r="I20" s="63" t="s">
        <v>35</v>
      </c>
      <c r="J20" s="20" t="s">
        <v>36</v>
      </c>
      <c r="K20" s="8" t="str">
        <f t="shared" si="1"/>
        <v>ConanGrey</v>
      </c>
      <c r="L20" s="8">
        <f t="shared" si="2"/>
        <v>9</v>
      </c>
      <c r="M20" s="9">
        <v>21000</v>
      </c>
      <c r="N20" s="8">
        <v>3344882211</v>
      </c>
      <c r="O20" s="8" t="s">
        <v>31</v>
      </c>
      <c r="P20" s="8" t="s">
        <v>43</v>
      </c>
      <c r="Q20" s="10">
        <v>45072</v>
      </c>
      <c r="R20" s="10">
        <v>45100</v>
      </c>
      <c r="S20" s="8">
        <f t="shared" si="3"/>
        <v>27</v>
      </c>
      <c r="T20" s="3">
        <f t="shared" si="4"/>
        <v>21</v>
      </c>
    </row>
    <row r="21" spans="8:20" x14ac:dyDescent="0.3">
      <c r="H21" s="8">
        <v>6</v>
      </c>
      <c r="I21" s="63" t="s">
        <v>26</v>
      </c>
      <c r="J21" s="20" t="s">
        <v>27</v>
      </c>
      <c r="K21" s="8" t="str">
        <f t="shared" si="1"/>
        <v>Ed Sheeran</v>
      </c>
      <c r="L21" s="8">
        <f t="shared" si="2"/>
        <v>10</v>
      </c>
      <c r="M21" s="9">
        <v>25000</v>
      </c>
      <c r="N21" s="8">
        <v>7722115544</v>
      </c>
      <c r="O21" s="8" t="s">
        <v>31</v>
      </c>
      <c r="P21" s="8" t="s">
        <v>53</v>
      </c>
      <c r="Q21" s="10">
        <v>45103</v>
      </c>
      <c r="R21" s="10">
        <v>45130</v>
      </c>
      <c r="S21" s="8">
        <f t="shared" si="3"/>
        <v>27</v>
      </c>
      <c r="T21" s="3">
        <f t="shared" si="4"/>
        <v>20</v>
      </c>
    </row>
    <row r="22" spans="8:20" x14ac:dyDescent="0.3">
      <c r="H22" s="8">
        <v>7</v>
      </c>
      <c r="I22" s="63" t="s">
        <v>37</v>
      </c>
      <c r="J22" s="20" t="s">
        <v>38</v>
      </c>
      <c r="K22" s="8" t="str">
        <f t="shared" si="1"/>
        <v>HarryStyle</v>
      </c>
      <c r="L22" s="8">
        <f t="shared" si="2"/>
        <v>10</v>
      </c>
      <c r="M22" s="9">
        <v>18000</v>
      </c>
      <c r="N22" s="8">
        <v>9933442200</v>
      </c>
      <c r="O22" s="8" t="s">
        <v>31</v>
      </c>
      <c r="P22" s="8" t="s">
        <v>44</v>
      </c>
      <c r="Q22" s="10">
        <v>45133</v>
      </c>
      <c r="R22" s="10">
        <v>45161</v>
      </c>
      <c r="S22" s="8">
        <f t="shared" si="3"/>
        <v>27</v>
      </c>
      <c r="T22" s="3">
        <f t="shared" si="4"/>
        <v>21</v>
      </c>
    </row>
    <row r="23" spans="8:20" x14ac:dyDescent="0.3">
      <c r="H23" s="8">
        <v>8</v>
      </c>
      <c r="I23" s="63" t="s">
        <v>45</v>
      </c>
      <c r="J23" s="20" t="s">
        <v>46</v>
      </c>
      <c r="K23" s="8" t="str">
        <f t="shared" si="1"/>
        <v>OliviaRodrigo</v>
      </c>
      <c r="L23" s="8">
        <f t="shared" si="2"/>
        <v>13</v>
      </c>
      <c r="M23" s="9">
        <v>30000</v>
      </c>
      <c r="N23" s="8">
        <v>8800110077</v>
      </c>
      <c r="O23" s="8" t="s">
        <v>30</v>
      </c>
      <c r="P23" s="8" t="s">
        <v>61</v>
      </c>
      <c r="Q23" s="10">
        <v>45164</v>
      </c>
      <c r="R23" s="10">
        <v>45192</v>
      </c>
      <c r="S23" s="8">
        <f t="shared" si="3"/>
        <v>27</v>
      </c>
      <c r="T23" s="3">
        <f t="shared" si="4"/>
        <v>20</v>
      </c>
    </row>
    <row r="24" spans="8:20" x14ac:dyDescent="0.3">
      <c r="H24" s="8">
        <v>9</v>
      </c>
      <c r="I24" s="63" t="s">
        <v>28</v>
      </c>
      <c r="J24" s="20" t="s">
        <v>29</v>
      </c>
      <c r="K24" s="8" t="str">
        <f t="shared" si="1"/>
        <v>ShawnMendes</v>
      </c>
      <c r="L24" s="8">
        <f t="shared" si="2"/>
        <v>11</v>
      </c>
      <c r="M24" s="9">
        <v>25000</v>
      </c>
      <c r="N24" s="8">
        <v>3344992200</v>
      </c>
      <c r="O24" s="8" t="s">
        <v>31</v>
      </c>
      <c r="P24" s="8" t="s">
        <v>54</v>
      </c>
      <c r="Q24" s="10">
        <v>45195</v>
      </c>
      <c r="R24" s="10">
        <v>45222</v>
      </c>
      <c r="S24" s="8">
        <f t="shared" si="3"/>
        <v>27</v>
      </c>
      <c r="T24" s="3">
        <f t="shared" si="4"/>
        <v>20</v>
      </c>
    </row>
    <row r="25" spans="8:20" x14ac:dyDescent="0.3">
      <c r="H25" s="8">
        <v>10</v>
      </c>
      <c r="I25" s="63" t="s">
        <v>39</v>
      </c>
      <c r="J25" s="20" t="s">
        <v>40</v>
      </c>
      <c r="K25" s="8" t="str">
        <f t="shared" si="1"/>
        <v>Taylor Swift</v>
      </c>
      <c r="L25" s="8">
        <f t="shared" si="2"/>
        <v>12</v>
      </c>
      <c r="M25" s="9">
        <v>10000</v>
      </c>
      <c r="N25" s="8">
        <v>5544996633</v>
      </c>
      <c r="O25" s="8" t="s">
        <v>30</v>
      </c>
      <c r="P25" s="8" t="s">
        <v>48</v>
      </c>
      <c r="Q25" s="10">
        <v>45225</v>
      </c>
      <c r="R25" s="10">
        <v>45253</v>
      </c>
      <c r="S25" s="8">
        <f t="shared" si="3"/>
        <v>27</v>
      </c>
      <c r="T25" s="3">
        <f t="shared" si="4"/>
        <v>21</v>
      </c>
    </row>
    <row r="26" spans="8:20" x14ac:dyDescent="0.3">
      <c r="H26" s="1"/>
      <c r="I26" s="1"/>
      <c r="J26" s="1"/>
      <c r="K26" s="1"/>
      <c r="L26" s="1"/>
      <c r="M26" s="13"/>
      <c r="N26" s="1"/>
      <c r="O26" s="1"/>
      <c r="P26" s="1"/>
      <c r="Q26" s="1"/>
      <c r="R26" s="1"/>
      <c r="S26" s="1"/>
    </row>
    <row r="27" spans="8:20" x14ac:dyDescent="0.3">
      <c r="M27" s="1"/>
      <c r="N27" s="8" t="s">
        <v>63</v>
      </c>
      <c r="O27" s="8">
        <f>COUNTIF(O16:O25,"MALE")</f>
        <v>5</v>
      </c>
    </row>
    <row r="28" spans="8:20" x14ac:dyDescent="0.3">
      <c r="M28" s="1"/>
      <c r="N28" s="8" t="s">
        <v>62</v>
      </c>
      <c r="O28" s="8">
        <f>COUNTIF(O16:O25,"FEMALE")</f>
        <v>5</v>
      </c>
    </row>
    <row r="29" spans="8:20" x14ac:dyDescent="0.3">
      <c r="M29" s="1"/>
    </row>
    <row r="30" spans="8:20" x14ac:dyDescent="0.3">
      <c r="M30" s="145" t="s">
        <v>64</v>
      </c>
      <c r="N30" s="145"/>
      <c r="O30" s="3">
        <f>SUMIFS(M16:M25,O16:O25,"Female")</f>
        <v>97000</v>
      </c>
    </row>
    <row r="31" spans="8:20" x14ac:dyDescent="0.3">
      <c r="M31" s="145" t="s">
        <v>65</v>
      </c>
      <c r="N31" s="145"/>
      <c r="O31" s="3">
        <f>SUMIFS(M16:M25,O16:O25,"Male")</f>
        <v>107000</v>
      </c>
    </row>
    <row r="32" spans="8:20" x14ac:dyDescent="0.3">
      <c r="M32" s="1"/>
    </row>
    <row r="33" spans="13:13" x14ac:dyDescent="0.3">
      <c r="M33" s="1"/>
    </row>
  </sheetData>
  <sortState ref="E16:F25">
    <sortCondition ref="E16"/>
  </sortState>
  <mergeCells count="5">
    <mergeCell ref="A8:B8"/>
    <mergeCell ref="A9:B9"/>
    <mergeCell ref="A1:F1"/>
    <mergeCell ref="M30:N30"/>
    <mergeCell ref="M31:N3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AB15"/>
  <sheetViews>
    <sheetView tabSelected="1" topLeftCell="B1" workbookViewId="0">
      <selection activeCell="W34" sqref="W34"/>
    </sheetView>
  </sheetViews>
  <sheetFormatPr defaultRowHeight="14.4" x14ac:dyDescent="0.3"/>
  <cols>
    <col min="3" max="3" width="12" customWidth="1"/>
    <col min="6" max="6" width="14.44140625" customWidth="1"/>
    <col min="7" max="7" width="9.6640625" customWidth="1"/>
    <col min="12" max="12" width="10.77734375" customWidth="1"/>
    <col min="18" max="18" width="14.44140625" customWidth="1"/>
    <col min="23" max="23" width="10.109375" customWidth="1"/>
    <col min="24" max="25" width="11.5546875" customWidth="1"/>
    <col min="28" max="28" width="12" customWidth="1"/>
  </cols>
  <sheetData>
    <row r="6" spans="2:28" x14ac:dyDescent="0.3">
      <c r="B6" s="128" t="s">
        <v>223</v>
      </c>
      <c r="C6" s="128" t="s">
        <v>222</v>
      </c>
      <c r="D6" s="128" t="s">
        <v>224</v>
      </c>
      <c r="E6" s="128" t="s">
        <v>225</v>
      </c>
      <c r="F6" s="128" t="s">
        <v>254</v>
      </c>
      <c r="G6" s="12" t="s">
        <v>252</v>
      </c>
      <c r="H6" s="113" t="s">
        <v>253</v>
      </c>
      <c r="K6" s="128" t="s">
        <v>223</v>
      </c>
      <c r="L6" s="128" t="s">
        <v>233</v>
      </c>
      <c r="M6" s="128" t="s">
        <v>234</v>
      </c>
      <c r="N6" s="128" t="s">
        <v>235</v>
      </c>
      <c r="O6" s="128" t="s">
        <v>236</v>
      </c>
      <c r="P6" s="128" t="s">
        <v>237</v>
      </c>
      <c r="Q6" s="128" t="s">
        <v>238</v>
      </c>
      <c r="R6" s="128" t="s">
        <v>239</v>
      </c>
      <c r="S6" s="128" t="s">
        <v>17</v>
      </c>
      <c r="W6" s="128" t="s">
        <v>240</v>
      </c>
      <c r="X6" s="128" t="s">
        <v>241</v>
      </c>
      <c r="Y6" s="128" t="s">
        <v>242</v>
      </c>
      <c r="Z6" s="128" t="s">
        <v>243</v>
      </c>
      <c r="AA6" s="128" t="s">
        <v>244</v>
      </c>
      <c r="AB6" s="128" t="s">
        <v>245</v>
      </c>
    </row>
    <row r="7" spans="2:28" x14ac:dyDescent="0.3">
      <c r="B7" s="112">
        <v>1</v>
      </c>
      <c r="C7" s="112" t="s">
        <v>226</v>
      </c>
      <c r="D7" s="112">
        <v>400</v>
      </c>
      <c r="E7" s="112">
        <v>2</v>
      </c>
      <c r="F7" s="112">
        <f>E7*D7</f>
        <v>800</v>
      </c>
      <c r="G7" s="146">
        <v>3000</v>
      </c>
      <c r="H7" s="3">
        <f>G7-E7</f>
        <v>2998</v>
      </c>
      <c r="K7" s="112">
        <v>1</v>
      </c>
      <c r="L7" s="112" t="s">
        <v>8</v>
      </c>
      <c r="M7" s="112">
        <v>85</v>
      </c>
      <c r="N7" s="112">
        <v>76</v>
      </c>
      <c r="O7" s="112">
        <v>66</v>
      </c>
      <c r="P7" s="112">
        <v>88</v>
      </c>
      <c r="Q7" s="112">
        <v>75</v>
      </c>
      <c r="R7" s="112">
        <f>SUM(M7:Q7)</f>
        <v>390</v>
      </c>
      <c r="S7" s="112">
        <f>R7/$S$15*100</f>
        <v>78</v>
      </c>
      <c r="W7" s="112" t="s">
        <v>246</v>
      </c>
      <c r="X7" s="112">
        <v>22000</v>
      </c>
      <c r="Y7" s="112">
        <v>2200</v>
      </c>
      <c r="Z7" s="112">
        <v>2640</v>
      </c>
      <c r="AA7" s="112">
        <v>1760</v>
      </c>
      <c r="AB7" s="112"/>
    </row>
    <row r="8" spans="2:28" x14ac:dyDescent="0.3">
      <c r="B8" s="112">
        <v>2</v>
      </c>
      <c r="C8" s="112" t="s">
        <v>227</v>
      </c>
      <c r="D8" s="112">
        <v>300</v>
      </c>
      <c r="E8" s="112">
        <v>4</v>
      </c>
      <c r="F8" s="112">
        <f t="shared" ref="F8:F12" si="0">E8*D8</f>
        <v>1200</v>
      </c>
      <c r="G8" s="146">
        <v>40000</v>
      </c>
      <c r="H8" s="3">
        <f t="shared" ref="H8:H12" si="1">G8-E8</f>
        <v>39996</v>
      </c>
      <c r="K8" s="112">
        <v>2</v>
      </c>
      <c r="L8" s="112" t="s">
        <v>6</v>
      </c>
      <c r="M8" s="112">
        <v>99</v>
      </c>
      <c r="N8" s="112">
        <v>85</v>
      </c>
      <c r="O8" s="112">
        <v>74</v>
      </c>
      <c r="P8" s="112">
        <v>90</v>
      </c>
      <c r="Q8" s="112">
        <v>84</v>
      </c>
      <c r="R8" s="112">
        <f t="shared" ref="R8:R11" si="2">SUM(M8:Q8)</f>
        <v>432</v>
      </c>
      <c r="S8" s="112">
        <f>R8/$S$15*100</f>
        <v>86.4</v>
      </c>
      <c r="W8" s="112" t="s">
        <v>247</v>
      </c>
      <c r="X8" s="112">
        <v>18000</v>
      </c>
      <c r="Y8" s="112">
        <v>1800</v>
      </c>
      <c r="Z8" s="112">
        <v>2160</v>
      </c>
      <c r="AA8" s="112">
        <v>1440</v>
      </c>
      <c r="AB8" s="112"/>
    </row>
    <row r="9" spans="2:28" x14ac:dyDescent="0.3">
      <c r="B9" s="112">
        <v>3</v>
      </c>
      <c r="C9" s="112" t="s">
        <v>228</v>
      </c>
      <c r="D9" s="112">
        <v>350</v>
      </c>
      <c r="E9" s="112">
        <v>30</v>
      </c>
      <c r="F9" s="112">
        <v>10500</v>
      </c>
      <c r="G9" s="146">
        <v>50000</v>
      </c>
      <c r="H9" s="3">
        <f t="shared" si="1"/>
        <v>49970</v>
      </c>
      <c r="K9" s="112">
        <v>3</v>
      </c>
      <c r="L9" s="112" t="s">
        <v>9</v>
      </c>
      <c r="M9" s="112">
        <v>75</v>
      </c>
      <c r="N9" s="112">
        <v>79</v>
      </c>
      <c r="O9" s="112">
        <v>62</v>
      </c>
      <c r="P9" s="112">
        <v>92</v>
      </c>
      <c r="Q9" s="112">
        <v>73</v>
      </c>
      <c r="R9" s="112">
        <f t="shared" si="2"/>
        <v>381</v>
      </c>
      <c r="S9" s="112">
        <f>R9/$S$15*100</f>
        <v>76.2</v>
      </c>
      <c r="W9" s="112" t="s">
        <v>248</v>
      </c>
      <c r="X9" s="112">
        <v>30000</v>
      </c>
      <c r="Y9" s="112">
        <v>3000</v>
      </c>
      <c r="Z9" s="112">
        <v>3600</v>
      </c>
      <c r="AA9" s="112">
        <v>2400</v>
      </c>
      <c r="AB9" s="112"/>
    </row>
    <row r="10" spans="2:28" x14ac:dyDescent="0.3">
      <c r="B10" s="112">
        <v>4</v>
      </c>
      <c r="C10" s="112" t="s">
        <v>229</v>
      </c>
      <c r="D10" s="112">
        <v>450</v>
      </c>
      <c r="E10" s="112">
        <v>3</v>
      </c>
      <c r="F10" s="112">
        <f t="shared" si="0"/>
        <v>1350</v>
      </c>
      <c r="G10" s="146">
        <v>5000</v>
      </c>
      <c r="H10" s="3">
        <f t="shared" si="1"/>
        <v>4997</v>
      </c>
      <c r="K10" s="112">
        <v>4</v>
      </c>
      <c r="L10" s="112" t="s">
        <v>11</v>
      </c>
      <c r="M10" s="112">
        <v>86</v>
      </c>
      <c r="N10" s="112">
        <v>90</v>
      </c>
      <c r="O10" s="112">
        <v>60</v>
      </c>
      <c r="P10" s="112">
        <v>89</v>
      </c>
      <c r="Q10" s="112">
        <v>88</v>
      </c>
      <c r="R10" s="112">
        <f t="shared" si="2"/>
        <v>413</v>
      </c>
      <c r="S10" s="112">
        <f>R10/$S$15*100</f>
        <v>82.6</v>
      </c>
      <c r="W10" s="112" t="s">
        <v>249</v>
      </c>
      <c r="X10" s="112">
        <v>40000</v>
      </c>
      <c r="Y10" s="112">
        <v>4000</v>
      </c>
      <c r="Z10" s="112">
        <v>4800</v>
      </c>
      <c r="AA10" s="112">
        <v>3200</v>
      </c>
      <c r="AB10" s="112"/>
    </row>
    <row r="11" spans="2:28" x14ac:dyDescent="0.3">
      <c r="B11" s="112">
        <v>5</v>
      </c>
      <c r="C11" s="112" t="s">
        <v>230</v>
      </c>
      <c r="D11" s="112">
        <v>800</v>
      </c>
      <c r="E11" s="112">
        <v>4</v>
      </c>
      <c r="F11" s="112">
        <f t="shared" si="0"/>
        <v>3200</v>
      </c>
      <c r="G11" s="146">
        <v>40000</v>
      </c>
      <c r="H11" s="3">
        <f t="shared" si="1"/>
        <v>39996</v>
      </c>
      <c r="K11" s="112">
        <v>5</v>
      </c>
      <c r="L11" s="112" t="s">
        <v>13</v>
      </c>
      <c r="M11" s="112">
        <v>91</v>
      </c>
      <c r="N11" s="112">
        <v>80</v>
      </c>
      <c r="O11" s="112">
        <v>70</v>
      </c>
      <c r="P11" s="112">
        <v>87</v>
      </c>
      <c r="Q11" s="112">
        <v>89</v>
      </c>
      <c r="R11" s="112">
        <f t="shared" si="2"/>
        <v>417</v>
      </c>
      <c r="S11" s="112">
        <f>R11/$S$15*100</f>
        <v>83.399999999999991</v>
      </c>
      <c r="W11" s="112" t="s">
        <v>250</v>
      </c>
      <c r="X11" s="112">
        <v>20000</v>
      </c>
      <c r="Y11" s="112">
        <v>2000</v>
      </c>
      <c r="Z11" s="112">
        <v>2400</v>
      </c>
      <c r="AA11" s="112">
        <v>1600</v>
      </c>
      <c r="AB11" s="112"/>
    </row>
    <row r="12" spans="2:28" x14ac:dyDescent="0.3">
      <c r="B12" s="112">
        <v>6</v>
      </c>
      <c r="C12" s="112" t="s">
        <v>231</v>
      </c>
      <c r="D12" s="112">
        <v>1000</v>
      </c>
      <c r="E12" s="112">
        <v>40</v>
      </c>
      <c r="F12" s="112">
        <v>40000</v>
      </c>
      <c r="G12" s="146">
        <v>15000</v>
      </c>
      <c r="H12" s="3">
        <f t="shared" si="1"/>
        <v>14960</v>
      </c>
      <c r="W12" s="112" t="s">
        <v>251</v>
      </c>
      <c r="X12" s="112">
        <v>50000</v>
      </c>
      <c r="Y12" s="112">
        <v>5000</v>
      </c>
      <c r="Z12" s="112">
        <v>6000</v>
      </c>
      <c r="AA12" s="112">
        <v>4000</v>
      </c>
      <c r="AB12" s="112"/>
    </row>
    <row r="15" spans="2:28" x14ac:dyDescent="0.3">
      <c r="D15" s="135" t="s">
        <v>232</v>
      </c>
      <c r="E15" s="135"/>
      <c r="F15" s="3">
        <f>SUM(F7:F12)</f>
        <v>57050</v>
      </c>
      <c r="R15" s="113" t="s">
        <v>239</v>
      </c>
      <c r="S15" s="3">
        <v>500</v>
      </c>
    </row>
  </sheetData>
  <mergeCells count="1">
    <mergeCell ref="D15:E1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Sheet4</vt:lpstr>
      <vt:lpstr>Sheet5</vt:lpstr>
      <vt:lpstr>Sheet3</vt:lpstr>
      <vt:lpstr>Sheet2</vt:lpstr>
      <vt:lpstr>Sheet1</vt:lpstr>
      <vt:lpstr>Sheet6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Gayatri</dc:creator>
  <cp:lastModifiedBy>Gayitri Gond</cp:lastModifiedBy>
  <dcterms:created xsi:type="dcterms:W3CDTF">2023-10-30T04:04:06Z</dcterms:created>
  <dcterms:modified xsi:type="dcterms:W3CDTF">2024-01-01T06:20:24Z</dcterms:modified>
</cp:coreProperties>
</file>